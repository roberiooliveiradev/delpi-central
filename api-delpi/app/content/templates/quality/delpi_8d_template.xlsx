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EstaPasta_de_trabalho"/>
  <bookViews>
    <workbookView visibility="visible" minimized="0" showHorizontalScroll="1" showVerticalScroll="1" showSheetTabs="1" xWindow="-28920" yWindow="-4695" windowWidth="29040" windowHeight="15840" tabRatio="600" firstSheet="0" activeTab="0" autoFilterDateGrouping="1"/>
  </bookViews>
  <sheets>
    <sheet name="R8D" sheetId="1" state="visible" r:id="rId1"/>
    <sheet name="Anexos(Evidencias)" sheetId="2" state="visible" r:id="rId2"/>
  </sheets>
  <definedNames>
    <definedName name="_xlnm.Print_Titles" localSheetId="0">'R8D'!$1:$12</definedName>
    <definedName name="_xlnm.Print_Area" localSheetId="0">'R8D'!$A$1:$M$109</definedName>
  </definedNames>
  <calcPr calcId="191029" fullCalcOnLoad="1"/>
</workbook>
</file>

<file path=xl/styles.xml><?xml version="1.0" encoding="utf-8"?>
<styleSheet xmlns="http://schemas.openxmlformats.org/spreadsheetml/2006/main">
  <numFmts count="0"/>
  <fonts count="10">
    <font>
      <name val="Arial"/>
      <family val="2"/>
      <sz val="10"/>
    </font>
    <font>
      <name val="Arial"/>
      <family val="2"/>
      <b val="1"/>
      <sz val="10"/>
    </font>
    <font>
      <name val="Arial"/>
      <family val="2"/>
      <color indexed="12"/>
      <sz val="10"/>
      <u val="single"/>
    </font>
    <font>
      <name val="Arial"/>
      <family val="2"/>
      <b val="1"/>
      <sz val="14"/>
    </font>
    <font>
      <name val="Arial"/>
      <family val="2"/>
      <sz val="8"/>
    </font>
    <font>
      <name val="Arial"/>
      <family val="2"/>
      <color indexed="8"/>
      <sz val="10"/>
      <u val="single"/>
    </font>
    <font>
      <name val="Arial"/>
      <family val="2"/>
      <sz val="10"/>
      <u val="single"/>
    </font>
    <font>
      <name val="Arial"/>
      <family val="2"/>
      <b val="1"/>
      <sz val="10"/>
      <u val="single"/>
    </font>
    <font>
      <name val="Arial"/>
      <family val="2"/>
      <color theme="0"/>
      <sz val="10"/>
    </font>
    <font>
      <name val="Arial"/>
      <family val="2"/>
      <b val="1"/>
      <color theme="3" tint="0.5999633777886288"/>
      <sz val="10"/>
    </font>
  </fonts>
  <fills count="4">
    <fill>
      <patternFill/>
    </fill>
    <fill>
      <patternFill patternType="gray125"/>
    </fill>
    <fill>
      <patternFill patternType="solid">
        <fgColor indexed="9"/>
        <bgColor indexed="64"/>
      </patternFill>
    </fill>
    <fill>
      <patternFill patternType="solid">
        <fgColor theme="3" tint="0.5999633777886288"/>
        <bgColor indexed="64"/>
      </patternFill>
    </fill>
  </fills>
  <borders count="108">
    <border>
      <left/>
      <right/>
      <top/>
      <bottom/>
      <diagonal/>
    </border>
    <border>
      <left style="thin">
        <color auto="1"/>
      </left>
      <right/>
      <top/>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auto="1"/>
      </right>
      <top style="medium">
        <color auto="1"/>
      </top>
      <bottom/>
      <diagonal/>
    </border>
    <border>
      <left/>
      <right style="medium">
        <color auto="1"/>
      </right>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auto="1"/>
      </right>
      <top/>
      <bottom/>
      <diagonal/>
    </border>
    <border>
      <left/>
      <right/>
      <top style="medium">
        <color auto="1"/>
      </top>
      <bottom style="thin">
        <color auto="1"/>
      </bottom>
      <diagonal/>
    </border>
    <border>
      <left/>
      <right/>
      <top style="medium">
        <color auto="1"/>
      </top>
      <bottom/>
      <diagonal/>
    </border>
    <border>
      <left/>
      <right/>
      <top/>
      <bottom style="medium">
        <color auto="1"/>
      </bottom>
      <diagonal/>
    </border>
    <border>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
      <left style="thin">
        <color auto="1"/>
      </left>
      <right/>
      <top style="thin">
        <color indexed="22"/>
      </top>
      <bottom style="thin">
        <color indexed="22"/>
      </bottom>
      <diagonal/>
    </border>
    <border>
      <left/>
      <right/>
      <top style="thin">
        <color indexed="22"/>
      </top>
      <bottom style="thin">
        <color indexed="22"/>
      </bottom>
      <diagonal/>
    </border>
    <border>
      <left/>
      <right style="thin">
        <color auto="1"/>
      </right>
      <top style="thin">
        <color indexed="22"/>
      </top>
      <bottom style="thin">
        <color indexed="22"/>
      </bottom>
      <diagonal/>
    </border>
    <border>
      <left/>
      <right/>
      <top style="thin">
        <color indexed="22"/>
      </top>
      <bottom style="medium">
        <color auto="1"/>
      </bottom>
      <diagonal/>
    </border>
    <border>
      <left style="thin">
        <color auto="1"/>
      </left>
      <right/>
      <top style="thin">
        <color indexed="22"/>
      </top>
      <bottom style="medium">
        <color auto="1"/>
      </bottom>
      <diagonal/>
    </border>
    <border>
      <left style="thin">
        <color auto="1"/>
      </left>
      <right/>
      <top style="thin">
        <color auto="1"/>
      </top>
      <bottom style="thin">
        <color indexed="22"/>
      </bottom>
      <diagonal/>
    </border>
    <border>
      <left/>
      <right/>
      <top style="thin">
        <color auto="1"/>
      </top>
      <bottom style="thin">
        <color indexed="22"/>
      </bottom>
      <diagonal/>
    </border>
    <border>
      <left style="thin">
        <color auto="1"/>
      </left>
      <right/>
      <top/>
      <bottom style="thin">
        <color indexed="22"/>
      </bottom>
      <diagonal/>
    </border>
    <border>
      <left/>
      <right/>
      <top/>
      <bottom style="thin">
        <color indexed="22"/>
      </bottom>
      <diagonal/>
    </border>
    <border>
      <left/>
      <right style="thin">
        <color auto="1"/>
      </right>
      <top/>
      <bottom style="thin">
        <color indexed="22"/>
      </bottom>
      <diagonal/>
    </border>
    <border>
      <left/>
      <right style="thin">
        <color auto="1"/>
      </right>
      <top style="thin">
        <color indexed="22"/>
      </top>
      <bottom style="medium">
        <color auto="1"/>
      </bottom>
      <diagonal/>
    </border>
    <border>
      <left/>
      <right style="thin">
        <color auto="1"/>
      </right>
      <top/>
      <bottom style="thin">
        <color auto="1"/>
      </bottom>
      <diagonal/>
    </border>
    <border>
      <left/>
      <right style="thin">
        <color auto="1"/>
      </right>
      <top style="medium">
        <color auto="1"/>
      </top>
      <bottom/>
      <diagonal/>
    </border>
    <border>
      <left style="hair">
        <color auto="1"/>
      </left>
      <right style="hair">
        <color auto="1"/>
      </right>
      <top style="hair">
        <color auto="1"/>
      </top>
      <bottom style="thin">
        <color auto="1"/>
      </bottom>
      <diagonal/>
    </border>
    <border>
      <left style="hair">
        <color auto="1"/>
      </left>
      <right style="hair">
        <color auto="1"/>
      </right>
      <top style="thin">
        <color auto="1"/>
      </top>
      <bottom style="hair">
        <color auto="1"/>
      </bottom>
      <diagonal/>
    </border>
    <border>
      <left style="thin">
        <color auto="1"/>
      </left>
      <right/>
      <top style="medium">
        <color auto="1"/>
      </top>
      <bottom style="thin">
        <color auto="1"/>
      </bottom>
      <diagonal/>
    </border>
    <border>
      <left style="hair">
        <color auto="1"/>
      </left>
      <right style="hair">
        <color auto="1"/>
      </right>
      <top style="thin">
        <color auto="1"/>
      </top>
      <bottom style="thin">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style="medium">
        <color auto="1"/>
      </top>
      <bottom/>
      <diagonal/>
    </border>
    <border>
      <left style="thin">
        <color auto="1"/>
      </left>
      <right style="thin">
        <color auto="1"/>
      </right>
      <top/>
      <bottom style="thin">
        <color auto="1"/>
      </bottom>
      <diagonal/>
    </border>
    <border>
      <left style="thin">
        <color auto="1"/>
      </left>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right style="medium">
        <color auto="1"/>
      </right>
      <top style="thin">
        <color auto="1"/>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style="thin">
        <color indexed="22"/>
      </bottom>
      <diagonal/>
    </border>
    <border>
      <left/>
      <right style="medium">
        <color auto="1"/>
      </right>
      <top/>
      <bottom style="thin">
        <color indexed="22"/>
      </bottom>
      <diagonal/>
    </border>
    <border>
      <left/>
      <right style="medium">
        <color auto="1"/>
      </right>
      <top style="thin">
        <color indexed="22"/>
      </top>
      <bottom style="thin">
        <color indexed="22"/>
      </bottom>
      <diagonal/>
    </border>
    <border>
      <left/>
      <right style="medium">
        <color auto="1"/>
      </right>
      <top style="thin">
        <color indexed="22"/>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thin">
        <color auto="1"/>
      </bottom>
      <diagonal/>
    </border>
    <border>
      <left style="hair">
        <color auto="1"/>
      </left>
      <right style="medium">
        <color auto="1"/>
      </right>
      <top style="thin">
        <color auto="1"/>
      </top>
      <bottom style="hair">
        <color auto="1"/>
      </bottom>
      <diagonal/>
    </border>
    <border>
      <left style="hair">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top style="thin">
        <color indexed="22"/>
      </top>
      <bottom/>
      <diagonal/>
    </border>
    <border>
      <left style="thin">
        <color auto="1"/>
      </left>
      <right style="medium">
        <color auto="1"/>
      </right>
      <top style="thin">
        <color indexed="22"/>
      </top>
      <bottom style="thin">
        <color indexed="22"/>
      </bottom>
      <diagonal/>
    </border>
    <border>
      <left/>
      <right style="medium">
        <color auto="1"/>
      </right>
      <top style="thin">
        <color indexed="22"/>
      </top>
      <bottom/>
      <diagonal/>
    </border>
    <border>
      <left style="thin">
        <color auto="1"/>
      </left>
      <right style="thin">
        <color auto="1"/>
      </right>
      <top style="thin">
        <color indexed="22"/>
      </top>
      <bottom style="thin">
        <color indexed="22"/>
      </bottom>
      <diagonal/>
    </border>
    <border>
      <left/>
      <right style="thin">
        <color auto="1"/>
      </right>
      <top style="thin">
        <color indexed="22"/>
      </top>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hair">
        <color auto="1"/>
      </left>
      <right/>
      <top/>
      <bottom/>
      <diagonal/>
    </border>
    <border>
      <left style="hair">
        <color auto="1"/>
      </left>
      <right style="medium">
        <color auto="1"/>
      </right>
      <top/>
      <bottom/>
      <diagonal/>
    </border>
    <border>
      <left style="hair">
        <color auto="1"/>
      </left>
      <right style="medium">
        <color auto="1"/>
      </right>
      <top/>
      <bottom style="thin">
        <color auto="1"/>
      </bottom>
      <diagonal/>
    </border>
    <border>
      <left/>
      <right style="thin">
        <color auto="1"/>
      </right>
      <top style="medium">
        <color auto="1"/>
      </top>
      <bottom style="medium">
        <color auto="1"/>
      </bottom>
      <diagonal/>
    </border>
    <border>
      <left/>
      <right/>
      <top style="hair">
        <color auto="1"/>
      </top>
      <bottom/>
      <diagonal/>
    </border>
    <border>
      <left/>
      <right style="hair">
        <color auto="1"/>
      </right>
      <top style="hair">
        <color auto="1"/>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style="thin">
        <color auto="1"/>
      </left>
      <right style="medium">
        <color auto="1"/>
      </right>
      <top style="thin">
        <color indexed="22"/>
      </top>
      <bottom style="medium">
        <color auto="1"/>
      </bottom>
      <diagonal/>
    </border>
    <border>
      <left style="thin">
        <color auto="1"/>
      </left>
      <right style="medium">
        <color auto="1"/>
      </right>
      <top style="thin">
        <color auto="1"/>
      </top>
      <bottom style="thin">
        <color indexed="22"/>
      </bottom>
      <diagonal/>
    </border>
    <border>
      <left style="thin">
        <color auto="1"/>
      </left>
      <right style="medium">
        <color auto="1"/>
      </right>
      <top/>
      <bottom style="thin">
        <color indexed="22"/>
      </bottom>
      <diagonal/>
    </border>
    <border>
      <left style="thin">
        <color auto="1"/>
      </left>
      <right style="thin">
        <color auto="1"/>
      </right>
      <top/>
      <bottom style="thin">
        <color indexed="22"/>
      </bottom>
      <diagonal/>
    </border>
    <border>
      <left style="thin">
        <color auto="1"/>
      </left>
      <right style="thin">
        <color auto="1"/>
      </right>
      <top style="thin">
        <color indexed="22"/>
      </top>
      <bottom style="medium">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style="medium">
        <color auto="1"/>
      </right>
      <top/>
      <bottom style="thin">
        <color auto="1"/>
      </bottom>
      <diagonal/>
    </border>
  </borders>
  <cellStyleXfs count="2">
    <xf numFmtId="0" fontId="0" fillId="0" borderId="0"/>
    <xf numFmtId="0" fontId="2" fillId="0" borderId="0" applyProtection="1">
      <protection locked="0" hidden="0"/>
    </xf>
  </cellStyleXfs>
  <cellXfs count="327">
    <xf numFmtId="0" fontId="0" fillId="0" borderId="0" pivotButton="0" quotePrefix="0" xfId="0"/>
    <xf numFmtId="0" fontId="0" fillId="0" borderId="78" applyAlignment="1" pivotButton="0" quotePrefix="0" xfId="1">
      <alignment horizontal="center" vertical="center"/>
    </xf>
    <xf numFmtId="0" fontId="0" fillId="0" borderId="21" applyAlignment="1" pivotButton="0" quotePrefix="0" xfId="1">
      <alignment horizontal="center" vertical="center"/>
    </xf>
    <xf numFmtId="0" fontId="0" fillId="0" borderId="42" applyAlignment="1" pivotButton="0" quotePrefix="0" xfId="1">
      <alignment horizontal="center" vertical="center"/>
    </xf>
    <xf numFmtId="0" fontId="5" fillId="0" borderId="0" applyAlignment="1" pivotButton="0" quotePrefix="0" xfId="1">
      <alignment horizontal="center"/>
    </xf>
    <xf numFmtId="0" fontId="7" fillId="0" borderId="1" applyAlignment="1" pivotButton="0" quotePrefix="0" xfId="1">
      <alignment vertical="center"/>
    </xf>
    <xf numFmtId="0" fontId="7" fillId="0" borderId="0" applyAlignment="1" pivotButton="0" quotePrefix="0" xfId="1">
      <alignment horizontal="center" vertical="center"/>
    </xf>
    <xf numFmtId="0" fontId="7" fillId="0" borderId="0" applyAlignment="1" pivotButton="0" quotePrefix="0" xfId="1">
      <alignment vertical="center"/>
    </xf>
    <xf numFmtId="0" fontId="0" fillId="3" borderId="5" applyAlignment="1" pivotButton="0" quotePrefix="0" xfId="1">
      <alignment horizontal="center" vertical="center" wrapText="1"/>
    </xf>
    <xf numFmtId="0" fontId="1" fillId="0" borderId="6" applyAlignment="1" pivotButton="0" quotePrefix="0" xfId="1">
      <alignment horizontal="center" vertical="center"/>
    </xf>
    <xf numFmtId="0" fontId="0" fillId="3" borderId="53" applyAlignment="1" pivotButton="0" quotePrefix="0" xfId="1">
      <alignment horizontal="center" vertical="center" wrapText="1"/>
    </xf>
    <xf numFmtId="0" fontId="1" fillId="0" borderId="59" applyAlignment="1" pivotButton="0" quotePrefix="0" xfId="1">
      <alignment horizontal="center" vertical="center"/>
    </xf>
    <xf numFmtId="0" fontId="1" fillId="0" borderId="73" applyAlignment="1" pivotButton="0" quotePrefix="0" xfId="1">
      <alignment horizontal="center" vertical="center"/>
    </xf>
    <xf numFmtId="0" fontId="0" fillId="0" borderId="72" applyAlignment="1" pivotButton="0" quotePrefix="0" xfId="1">
      <alignment vertical="center"/>
    </xf>
    <xf numFmtId="0" fontId="0" fillId="0" borderId="71" applyAlignment="1" pivotButton="0" quotePrefix="0" xfId="1">
      <alignment vertical="center"/>
    </xf>
    <xf numFmtId="0" fontId="0" fillId="0" borderId="74" applyAlignment="1" pivotButton="0" quotePrefix="0" xfId="1">
      <alignment vertical="center"/>
    </xf>
    <xf numFmtId="0" fontId="0" fillId="0" borderId="67" applyAlignment="1" pivotButton="0" quotePrefix="0" xfId="1">
      <alignment horizontal="center" vertical="center"/>
    </xf>
    <xf numFmtId="0" fontId="7" fillId="0" borderId="67" applyAlignment="1" pivotButton="0" quotePrefix="0" xfId="1">
      <alignment horizontal="center" vertical="center"/>
    </xf>
    <xf numFmtId="0" fontId="0" fillId="0" borderId="8" applyAlignment="1" pivotButton="0" quotePrefix="0" xfId="1">
      <alignment horizontal="center" vertical="center"/>
    </xf>
    <xf numFmtId="0" fontId="0" fillId="0" borderId="59" applyAlignment="1" pivotButton="0" quotePrefix="0" xfId="1">
      <alignment vertical="center"/>
    </xf>
    <xf numFmtId="0" fontId="0" fillId="0" borderId="70" applyAlignment="1" pivotButton="0" quotePrefix="0" xfId="1">
      <alignment vertical="center"/>
    </xf>
    <xf numFmtId="0" fontId="1" fillId="0" borderId="11" applyAlignment="1" pivotButton="0" quotePrefix="0" xfId="1">
      <alignment horizontal="center" vertical="center"/>
    </xf>
    <xf numFmtId="0" fontId="1" fillId="0" borderId="9" applyAlignment="1" pivotButton="0" quotePrefix="0" xfId="1">
      <alignment horizontal="center" vertical="center"/>
    </xf>
    <xf numFmtId="0" fontId="1" fillId="0" borderId="10" applyAlignment="1" pivotButton="0" quotePrefix="0" xfId="1">
      <alignment horizontal="center" vertical="center"/>
    </xf>
    <xf numFmtId="0" fontId="0" fillId="0" borderId="11" applyAlignment="1" pivotButton="0" quotePrefix="0" xfId="1">
      <alignment horizontal="center" vertical="center"/>
    </xf>
    <xf numFmtId="0" fontId="0" fillId="0" borderId="9" applyAlignment="1" pivotButton="0" quotePrefix="0" xfId="1">
      <alignment horizontal="center" vertical="center"/>
    </xf>
    <xf numFmtId="0" fontId="0" fillId="0" borderId="10" applyAlignment="1" pivotButton="0" quotePrefix="0" xfId="1">
      <alignment horizontal="center" vertical="center"/>
    </xf>
    <xf numFmtId="0" fontId="0" fillId="0" borderId="4" applyAlignment="1" pivotButton="0" quotePrefix="0" xfId="1">
      <alignment horizontal="center" vertical="center"/>
    </xf>
    <xf numFmtId="0" fontId="0" fillId="0" borderId="2" applyAlignment="1" pivotButton="0" quotePrefix="0" xfId="1">
      <alignment horizontal="center" vertical="center"/>
    </xf>
    <xf numFmtId="0" fontId="0" fillId="0" borderId="3" applyAlignment="1" pivotButton="0" quotePrefix="0" xfId="1">
      <alignment horizontal="center" vertical="center"/>
    </xf>
    <xf numFmtId="0" fontId="0" fillId="0" borderId="5" applyAlignment="1" pivotButton="0" quotePrefix="0" xfId="1">
      <alignment horizontal="center" vertical="center"/>
    </xf>
    <xf numFmtId="0" fontId="0" fillId="0" borderId="12" applyAlignment="1" pivotButton="0" quotePrefix="0" xfId="1">
      <alignment horizontal="center" vertical="center"/>
    </xf>
    <xf numFmtId="0" fontId="0" fillId="0" borderId="13" applyAlignment="1" pivotButton="0" quotePrefix="0" xfId="1">
      <alignment horizontal="center" vertical="center"/>
    </xf>
    <xf numFmtId="0" fontId="0" fillId="0" borderId="38" applyAlignment="1" pivotButton="0" quotePrefix="0" xfId="1">
      <alignment horizontal="center" vertical="center"/>
    </xf>
    <xf numFmtId="0" fontId="1" fillId="3" borderId="22" applyAlignment="1" pivotButton="0" quotePrefix="0" xfId="1">
      <alignment horizontal="center" vertical="center" wrapText="1" shrinkToFit="1"/>
    </xf>
    <xf numFmtId="0" fontId="1" fillId="3" borderId="39" applyAlignment="1" pivotButton="0" quotePrefix="0" xfId="1">
      <alignment horizontal="center" vertical="center" wrapText="1" shrinkToFit="1"/>
    </xf>
    <xf numFmtId="0" fontId="1" fillId="3" borderId="0" applyAlignment="1" pivotButton="0" quotePrefix="0" xfId="1">
      <alignment horizontal="center" vertical="center" wrapText="1" shrinkToFit="1"/>
    </xf>
    <xf numFmtId="0" fontId="1" fillId="3" borderId="20" applyAlignment="1" pivotButton="0" quotePrefix="0" xfId="1">
      <alignment horizontal="center" vertical="center" wrapText="1" shrinkToFit="1"/>
    </xf>
    <xf numFmtId="0" fontId="1" fillId="3" borderId="23" applyAlignment="1" pivotButton="0" quotePrefix="0" xfId="1">
      <alignment horizontal="center" vertical="center" wrapText="1" shrinkToFit="1"/>
    </xf>
    <xf numFmtId="14" fontId="0" fillId="0" borderId="5" applyAlignment="1" pivotButton="0" quotePrefix="0" xfId="1">
      <alignment horizontal="center" vertical="center"/>
    </xf>
    <xf numFmtId="0" fontId="0" fillId="0" borderId="72" applyAlignment="1" pivotButton="0" quotePrefix="0" xfId="1">
      <alignment horizontal="center" vertical="center"/>
    </xf>
    <xf numFmtId="0" fontId="1" fillId="3" borderId="44" applyAlignment="1" pivotButton="0" quotePrefix="0" xfId="1">
      <alignment horizontal="center" vertical="center" wrapText="1" shrinkToFit="1"/>
    </xf>
    <xf numFmtId="0" fontId="1" fillId="3" borderId="45" applyAlignment="1" pivotButton="0" quotePrefix="0" xfId="1">
      <alignment horizontal="center" vertical="center" wrapText="1" shrinkToFit="1"/>
    </xf>
    <xf numFmtId="0" fontId="1" fillId="3" borderId="46" applyAlignment="1" pivotButton="0" quotePrefix="0" xfId="1">
      <alignment horizontal="center" vertical="center" wrapText="1" shrinkToFit="1"/>
    </xf>
    <xf numFmtId="0" fontId="1" fillId="3" borderId="24" applyAlignment="1" pivotButton="0" quotePrefix="0" xfId="1">
      <alignment horizontal="center" vertical="center" wrapText="1" shrinkToFit="1"/>
    </xf>
    <xf numFmtId="0" fontId="1" fillId="3" borderId="38" applyAlignment="1" pivotButton="0" quotePrefix="0" xfId="1">
      <alignment horizontal="center" vertical="center" wrapText="1" shrinkToFit="1"/>
    </xf>
    <xf numFmtId="0" fontId="1" fillId="3" borderId="48" applyAlignment="1" pivotButton="0" quotePrefix="0" xfId="1">
      <alignment horizontal="center" vertical="center" wrapText="1" shrinkToFit="1"/>
    </xf>
    <xf numFmtId="0" fontId="1" fillId="3" borderId="10" applyAlignment="1" pivotButton="0" quotePrefix="0" xfId="1">
      <alignment horizontal="center" vertical="center" wrapText="1" shrinkToFit="1"/>
    </xf>
    <xf numFmtId="0" fontId="1" fillId="3" borderId="5" applyAlignment="1" pivotButton="0" quotePrefix="0" xfId="1">
      <alignment horizontal="center" vertical="center" wrapText="1" shrinkToFit="1"/>
    </xf>
    <xf numFmtId="0" fontId="1" fillId="3" borderId="3" applyAlignment="1" pivotButton="0" quotePrefix="0" xfId="1">
      <alignment horizontal="center" vertical="center" wrapText="1" shrinkToFit="1"/>
    </xf>
    <xf numFmtId="0" fontId="1" fillId="3" borderId="25" applyAlignment="1" pivotButton="0" quotePrefix="0" xfId="1">
      <alignment horizontal="center" vertical="center" wrapText="1" shrinkToFit="1"/>
    </xf>
    <xf numFmtId="0" fontId="1" fillId="0" borderId="14" applyAlignment="1" pivotButton="0" quotePrefix="0" xfId="1">
      <alignment horizontal="center" vertical="center" wrapText="1"/>
    </xf>
    <xf numFmtId="0" fontId="1" fillId="0" borderId="15" applyAlignment="1" pivotButton="0" quotePrefix="0" xfId="1">
      <alignment horizontal="center" vertical="center" wrapText="1"/>
    </xf>
    <xf numFmtId="0" fontId="1" fillId="0" borderId="57" applyAlignment="1" pivotButton="0" quotePrefix="0" xfId="1">
      <alignment horizontal="center" vertical="center" wrapText="1"/>
    </xf>
    <xf numFmtId="0" fontId="1" fillId="0" borderId="1" applyAlignment="1" pivotButton="0" quotePrefix="0" xfId="1">
      <alignment horizontal="center" vertical="center" wrapText="1"/>
    </xf>
    <xf numFmtId="0" fontId="1" fillId="0" borderId="0" applyAlignment="1" pivotButton="0" quotePrefix="0" xfId="1">
      <alignment horizontal="center" vertical="center" wrapText="1"/>
    </xf>
    <xf numFmtId="0" fontId="1" fillId="0" borderId="67" applyAlignment="1" pivotButton="0" quotePrefix="0" xfId="1">
      <alignment horizontal="center" vertical="center" wrapText="1"/>
    </xf>
    <xf numFmtId="0" fontId="1" fillId="0" borderId="12" applyAlignment="1" pivotButton="0" quotePrefix="0" xfId="1">
      <alignment horizontal="center" vertical="center" wrapText="1"/>
    </xf>
    <xf numFmtId="0" fontId="1" fillId="0" borderId="13" applyAlignment="1" pivotButton="0" quotePrefix="0" xfId="1">
      <alignment horizontal="center" vertical="center" wrapText="1"/>
    </xf>
    <xf numFmtId="0" fontId="1" fillId="0" borderId="69" applyAlignment="1" pivotButton="0" quotePrefix="0" xfId="1">
      <alignment horizontal="center" vertical="center" wrapText="1"/>
    </xf>
    <xf numFmtId="0" fontId="0" fillId="0" borderId="14" applyAlignment="1" pivotButton="0" quotePrefix="0" xfId="1">
      <alignment horizontal="center" vertical="center" wrapText="1"/>
    </xf>
    <xf numFmtId="0" fontId="0" fillId="0" borderId="16" applyAlignment="1" pivotButton="0" quotePrefix="0" xfId="1">
      <alignment horizontal="center" vertical="center" wrapText="1"/>
    </xf>
    <xf numFmtId="0" fontId="0" fillId="0" borderId="1" applyAlignment="1" pivotButton="0" quotePrefix="0" xfId="1">
      <alignment horizontal="center" vertical="center" wrapText="1"/>
    </xf>
    <xf numFmtId="0" fontId="0" fillId="0" borderId="20" applyAlignment="1" pivotButton="0" quotePrefix="0" xfId="1">
      <alignment horizontal="center" vertical="center" wrapText="1"/>
    </xf>
    <xf numFmtId="0" fontId="0" fillId="0" borderId="12" applyAlignment="1" pivotButton="0" quotePrefix="0" xfId="1">
      <alignment horizontal="center" vertical="center" wrapText="1"/>
    </xf>
    <xf numFmtId="0" fontId="0" fillId="0" borderId="38" applyAlignment="1" pivotButton="0" quotePrefix="0" xfId="1">
      <alignment horizontal="center" vertical="center" wrapText="1"/>
    </xf>
    <xf numFmtId="0" fontId="0" fillId="0" borderId="25" applyAlignment="1" pivotButton="0" quotePrefix="0" xfId="1">
      <alignment horizontal="center" vertical="center"/>
    </xf>
    <xf numFmtId="0" fontId="4" fillId="0" borderId="11" applyAlignment="1" pivotButton="0" quotePrefix="0" xfId="1">
      <alignment horizontal="center" vertical="center"/>
    </xf>
    <xf numFmtId="0" fontId="4" fillId="0" borderId="10" applyAlignment="1" pivotButton="0" quotePrefix="0" xfId="1">
      <alignment horizontal="center" vertical="center"/>
    </xf>
    <xf numFmtId="0" fontId="0" fillId="0" borderId="11" applyAlignment="1" pivotButton="0" quotePrefix="0" xfId="1">
      <alignment vertical="center" wrapText="1"/>
    </xf>
    <xf numFmtId="0" fontId="0" fillId="0" borderId="9" applyAlignment="1" pivotButton="0" quotePrefix="0" xfId="1">
      <alignment vertical="center" wrapText="1"/>
    </xf>
    <xf numFmtId="0" fontId="0" fillId="0" borderId="47" applyAlignment="1" pivotButton="0" quotePrefix="0" xfId="1">
      <alignment horizontal="center" vertical="center" wrapText="1"/>
    </xf>
    <xf numFmtId="0" fontId="0" fillId="0" borderId="22" applyAlignment="1" pivotButton="0" quotePrefix="0" xfId="1">
      <alignment horizontal="center" vertical="center" wrapText="1"/>
    </xf>
    <xf numFmtId="0" fontId="0" fillId="0" borderId="7" applyAlignment="1" pivotButton="0" quotePrefix="0" xfId="1">
      <alignment horizontal="center" vertical="center" wrapText="1"/>
    </xf>
    <xf numFmtId="0" fontId="0" fillId="0" borderId="13" applyAlignment="1" pivotButton="0" quotePrefix="0" xfId="1">
      <alignment horizontal="center" vertical="center" wrapText="1"/>
    </xf>
    <xf numFmtId="0" fontId="0" fillId="0" borderId="69" applyAlignment="1" pivotButton="0" quotePrefix="0" xfId="1">
      <alignment horizontal="center" vertical="center" wrapText="1"/>
    </xf>
    <xf numFmtId="0" fontId="0" fillId="0" borderId="15" applyAlignment="1" pivotButton="0" quotePrefix="0" xfId="1">
      <alignment horizontal="center" vertical="center" wrapText="1"/>
    </xf>
    <xf numFmtId="0" fontId="0" fillId="0" borderId="57" applyAlignment="1" pivotButton="0" quotePrefix="0" xfId="1">
      <alignment horizontal="center" vertical="center" wrapText="1"/>
    </xf>
    <xf numFmtId="0" fontId="0" fillId="0" borderId="0" applyAlignment="1" pivotButton="0" quotePrefix="0" xfId="1">
      <alignment horizontal="center" vertical="center" wrapText="1"/>
    </xf>
    <xf numFmtId="0" fontId="0" fillId="0" borderId="67" applyAlignment="1" pivotButton="0" quotePrefix="0" xfId="1">
      <alignment horizontal="center" vertical="center" wrapText="1"/>
    </xf>
    <xf numFmtId="0" fontId="0" fillId="0" borderId="59" applyAlignment="1" pivotButton="0" quotePrefix="0" xfId="1">
      <alignment horizontal="center" vertical="center"/>
    </xf>
    <xf numFmtId="0" fontId="0" fillId="0" borderId="14" applyAlignment="1" pivotButton="0" quotePrefix="0" xfId="1">
      <alignment horizontal="center" vertical="center"/>
    </xf>
    <xf numFmtId="0" fontId="0" fillId="0" borderId="15" applyAlignment="1" pivotButton="0" quotePrefix="0" xfId="1">
      <alignment horizontal="center" vertical="center"/>
    </xf>
    <xf numFmtId="0" fontId="0" fillId="0" borderId="57" applyAlignment="1" pivotButton="0" quotePrefix="0" xfId="1">
      <alignment horizontal="center" vertical="center"/>
    </xf>
    <xf numFmtId="0" fontId="0" fillId="0" borderId="1" applyAlignment="1" pivotButton="0" quotePrefix="0" xfId="1">
      <alignment horizontal="center" vertical="center"/>
    </xf>
    <xf numFmtId="0" fontId="0" fillId="0" borderId="0" applyAlignment="1" pivotButton="0" quotePrefix="0" xfId="1">
      <alignment horizontal="center" vertical="center"/>
    </xf>
    <xf numFmtId="0" fontId="0" fillId="0" borderId="67" applyAlignment="1" pivotButton="0" quotePrefix="0" xfId="1">
      <alignment horizontal="center" vertical="center"/>
    </xf>
    <xf numFmtId="0" fontId="0" fillId="0" borderId="69" applyAlignment="1" pivotButton="0" quotePrefix="0" xfId="1">
      <alignment horizontal="center" vertical="center"/>
    </xf>
    <xf numFmtId="0" fontId="1" fillId="0" borderId="0" applyAlignment="1" pivotButton="0" quotePrefix="0" xfId="1">
      <alignment horizontal="left" vertical="center"/>
    </xf>
    <xf numFmtId="0" fontId="1" fillId="0" borderId="59" applyAlignment="1" pivotButton="0" quotePrefix="0" xfId="1">
      <alignment horizontal="center" vertical="center"/>
    </xf>
    <xf numFmtId="0" fontId="0" fillId="0" borderId="48" applyAlignment="1" pivotButton="0" quotePrefix="0" xfId="1">
      <alignment horizontal="left" vertical="center"/>
    </xf>
    <xf numFmtId="0" fontId="0" fillId="0" borderId="71" applyAlignment="1" pivotButton="0" quotePrefix="0" xfId="1">
      <alignment horizontal="left" vertical="center"/>
    </xf>
    <xf numFmtId="0" fontId="1" fillId="0" borderId="45" applyAlignment="1" pivotButton="0" quotePrefix="0" xfId="1">
      <alignment horizontal="left" vertical="center"/>
    </xf>
    <xf numFmtId="0" fontId="1" fillId="0" borderId="0" applyAlignment="1" pivotButton="0" quotePrefix="0" xfId="1">
      <alignment horizontal="left" vertical="center"/>
    </xf>
    <xf numFmtId="0" fontId="1" fillId="0" borderId="20" applyAlignment="1" pivotButton="0" quotePrefix="0" xfId="1">
      <alignment horizontal="left" vertical="center"/>
    </xf>
    <xf numFmtId="0" fontId="1" fillId="0" borderId="46" applyAlignment="1" pivotButton="0" quotePrefix="0" xfId="1">
      <alignment horizontal="left" vertical="center"/>
    </xf>
    <xf numFmtId="0" fontId="1" fillId="0" borderId="23" applyAlignment="1" pivotButton="0" quotePrefix="0" xfId="1">
      <alignment horizontal="left" vertical="center"/>
    </xf>
    <xf numFmtId="0" fontId="1" fillId="0" borderId="24" applyAlignment="1" pivotButton="0" quotePrefix="0" xfId="1">
      <alignment horizontal="left" vertical="center"/>
    </xf>
    <xf numFmtId="0" fontId="0" fillId="0" borderId="49" applyAlignment="1" pivotButton="0" quotePrefix="0" xfId="1">
      <alignment horizontal="center" vertical="center" wrapText="1"/>
    </xf>
    <xf numFmtId="0" fontId="0" fillId="0" borderId="40" applyAlignment="1" pivotButton="0" quotePrefix="0" xfId="1">
      <alignment horizontal="center" vertical="center" wrapText="1"/>
    </xf>
    <xf numFmtId="0" fontId="0" fillId="0" borderId="41" applyAlignment="1" pivotButton="0" quotePrefix="0" xfId="1">
      <alignment horizontal="center" vertical="center" wrapText="1"/>
    </xf>
    <xf numFmtId="0" fontId="0" fillId="0" borderId="75" applyAlignment="1" pivotButton="0" quotePrefix="0" xfId="1">
      <alignment horizontal="center" vertical="center" wrapText="1"/>
    </xf>
    <xf numFmtId="0" fontId="0" fillId="0" borderId="76" applyAlignment="1" pivotButton="0" quotePrefix="0" xfId="1">
      <alignment horizontal="center" vertical="center" wrapText="1"/>
    </xf>
    <xf numFmtId="0" fontId="0" fillId="0" borderId="42" applyAlignment="1" pivotButton="0" quotePrefix="0" xfId="1">
      <alignment horizontal="center" vertical="center" wrapText="1"/>
    </xf>
    <xf numFmtId="0" fontId="0" fillId="0" borderId="21" applyAlignment="1" pivotButton="0" quotePrefix="0" xfId="1">
      <alignment horizontal="center" vertical="center" wrapText="1"/>
    </xf>
    <xf numFmtId="0" fontId="0" fillId="0" borderId="78" applyAlignment="1" pivotButton="0" quotePrefix="0" xfId="1">
      <alignment horizontal="center" vertical="center" wrapText="1"/>
    </xf>
    <xf numFmtId="0" fontId="1" fillId="0" borderId="5" applyAlignment="1" pivotButton="0" quotePrefix="0" xfId="1">
      <alignment horizontal="center" vertical="center"/>
    </xf>
    <xf numFmtId="0" fontId="0" fillId="0" borderId="23" applyAlignment="1" pivotButton="0" quotePrefix="0" xfId="1">
      <alignment horizontal="center" vertical="center"/>
    </xf>
    <xf numFmtId="0" fontId="0" fillId="0" borderId="43" applyAlignment="1" pivotButton="0" quotePrefix="0" xfId="1">
      <alignment horizontal="center" vertical="center" wrapText="1"/>
    </xf>
    <xf numFmtId="0" fontId="1" fillId="3" borderId="54" applyAlignment="1" pivotButton="0" quotePrefix="0" xfId="1">
      <alignment horizontal="center" vertical="center" wrapText="1"/>
    </xf>
    <xf numFmtId="0" fontId="1" fillId="3" borderId="55" applyAlignment="1" pivotButton="0" quotePrefix="0" xfId="1">
      <alignment horizontal="center" vertical="center" wrapText="1"/>
    </xf>
    <xf numFmtId="0" fontId="1" fillId="3" borderId="26" applyAlignment="1" pivotButton="0" quotePrefix="0" xfId="1">
      <alignment horizontal="center" vertical="center" wrapText="1"/>
    </xf>
    <xf numFmtId="0" fontId="1" fillId="3" borderId="56" applyAlignment="1" pivotButton="0" quotePrefix="0" xfId="1">
      <alignment horizontal="center" vertical="center" wrapText="1"/>
    </xf>
    <xf numFmtId="0" fontId="1" fillId="3" borderId="22" applyAlignment="1" pivotButton="0" quotePrefix="0" xfId="1">
      <alignment horizontal="center" vertical="center" wrapText="1"/>
    </xf>
    <xf numFmtId="0" fontId="1" fillId="3" borderId="39" applyAlignment="1" pivotButton="0" quotePrefix="0" xfId="1">
      <alignment horizontal="center" vertical="center" wrapText="1"/>
    </xf>
    <xf numFmtId="0" fontId="1" fillId="3" borderId="0" applyAlignment="1" pivotButton="0" quotePrefix="0" xfId="1">
      <alignment horizontal="center" vertical="center" wrapText="1"/>
    </xf>
    <xf numFmtId="0" fontId="1" fillId="3" borderId="20" applyAlignment="1" pivotButton="0" quotePrefix="0" xfId="1">
      <alignment horizontal="center" vertical="center" wrapText="1"/>
    </xf>
    <xf numFmtId="0" fontId="1" fillId="0" borderId="30" applyAlignment="1" pivotButton="0" quotePrefix="0" xfId="1">
      <alignment horizontal="left" vertical="center"/>
    </xf>
    <xf numFmtId="0" fontId="1" fillId="0" borderId="28" applyAlignment="1" pivotButton="0" quotePrefix="0" xfId="1">
      <alignment horizontal="left" vertical="center"/>
    </xf>
    <xf numFmtId="0" fontId="1" fillId="0" borderId="9" applyAlignment="1" pivotButton="0" quotePrefix="0" xfId="1">
      <alignment horizontal="center" vertical="center" wrapText="1"/>
    </xf>
    <xf numFmtId="0" fontId="1" fillId="0" borderId="59" applyAlignment="1" pivotButton="0" quotePrefix="0" xfId="1">
      <alignment horizontal="center" vertical="center" wrapText="1"/>
    </xf>
    <xf numFmtId="0" fontId="1" fillId="0" borderId="35" applyAlignment="1" pivotButton="0" quotePrefix="0" xfId="1">
      <alignment horizontal="left" vertical="center"/>
    </xf>
    <xf numFmtId="0" fontId="1" fillId="0" borderId="66" applyAlignment="1" pivotButton="0" quotePrefix="0" xfId="1">
      <alignment horizontal="center" vertical="center"/>
    </xf>
    <xf numFmtId="0" fontId="0" fillId="0" borderId="77" applyAlignment="1" pivotButton="0" quotePrefix="0" xfId="1">
      <alignment horizontal="center" vertical="center" wrapText="1"/>
    </xf>
    <xf numFmtId="0" fontId="1" fillId="0" borderId="25" applyAlignment="1" pivotButton="0" quotePrefix="0" xfId="1">
      <alignment horizontal="center" vertical="center"/>
    </xf>
    <xf numFmtId="0" fontId="1" fillId="0" borderId="1" applyAlignment="1" pivotButton="0" quotePrefix="0" xfId="1">
      <alignment horizontal="center" vertical="center"/>
    </xf>
    <xf numFmtId="0" fontId="1" fillId="0" borderId="22" applyAlignment="1" pivotButton="0" quotePrefix="0" xfId="1">
      <alignment horizontal="center" vertical="center"/>
    </xf>
    <xf numFmtId="0" fontId="1" fillId="0" borderId="7" applyAlignment="1" pivotButton="0" quotePrefix="0" xfId="1">
      <alignment horizontal="center" vertical="center"/>
    </xf>
    <xf numFmtId="0" fontId="1" fillId="0" borderId="12" applyAlignment="1" pivotButton="0" quotePrefix="0" xfId="1">
      <alignment horizontal="center" vertical="center"/>
    </xf>
    <xf numFmtId="0" fontId="1" fillId="0" borderId="13" applyAlignment="1" pivotButton="0" quotePrefix="0" xfId="1">
      <alignment horizontal="center" vertical="center"/>
    </xf>
    <xf numFmtId="0" fontId="1" fillId="0" borderId="69" applyAlignment="1" pivotButton="0" quotePrefix="0" xfId="1">
      <alignment horizontal="center" vertical="center"/>
    </xf>
    <xf numFmtId="0" fontId="0" fillId="0" borderId="5" applyAlignment="1" pivotButton="0" quotePrefix="0" xfId="1">
      <alignment horizontal="left" vertical="center"/>
    </xf>
    <xf numFmtId="0" fontId="0" fillId="0" borderId="72" applyAlignment="1" pivotButton="0" quotePrefix="0" xfId="1">
      <alignment horizontal="left" vertical="center"/>
    </xf>
    <xf numFmtId="0" fontId="1" fillId="0" borderId="58" applyAlignment="1" pivotButton="0" quotePrefix="0" xfId="1">
      <alignment horizontal="center" vertical="center" wrapText="1"/>
    </xf>
    <xf numFmtId="0" fontId="1" fillId="0" borderId="5" applyAlignment="1" pivotButton="0" quotePrefix="0" xfId="1">
      <alignment horizontal="center" vertical="center" wrapText="1"/>
    </xf>
    <xf numFmtId="0" fontId="1" fillId="0" borderId="60" applyAlignment="1" pivotButton="0" quotePrefix="0" xfId="1">
      <alignment horizontal="left" vertical="center"/>
    </xf>
    <xf numFmtId="0" fontId="1" fillId="0" borderId="15" applyAlignment="1" pivotButton="0" quotePrefix="0" xfId="1">
      <alignment horizontal="left" vertical="center"/>
    </xf>
    <xf numFmtId="0" fontId="1" fillId="0" borderId="16" applyAlignment="1" pivotButton="0" quotePrefix="0" xfId="1">
      <alignment horizontal="left" vertical="center"/>
    </xf>
    <xf numFmtId="0" fontId="0" fillId="0" borderId="5" applyAlignment="1" pivotButton="0" quotePrefix="0" xfId="1">
      <alignment horizontal="center" vertical="center" wrapText="1"/>
    </xf>
    <xf numFmtId="14" fontId="0" fillId="0" borderId="9" applyAlignment="1" pivotButton="0" quotePrefix="0" xfId="1">
      <alignment horizontal="center" vertical="center"/>
    </xf>
    <xf numFmtId="0" fontId="1" fillId="3" borderId="65" applyAlignment="1" pivotButton="0" quotePrefix="0" xfId="1">
      <alignment horizontal="left" vertical="center"/>
    </xf>
    <xf numFmtId="0" fontId="1" fillId="3" borderId="21" applyAlignment="1" pivotButton="0" quotePrefix="0" xfId="1">
      <alignment horizontal="left" vertical="center"/>
    </xf>
    <xf numFmtId="0" fontId="1" fillId="3" borderId="22" applyAlignment="1" pivotButton="0" quotePrefix="0" xfId="1">
      <alignment horizontal="left" vertical="center"/>
    </xf>
    <xf numFmtId="0" fontId="1" fillId="3" borderId="7" applyAlignment="1" pivotButton="0" quotePrefix="0" xfId="1">
      <alignment horizontal="left" vertical="center"/>
    </xf>
    <xf numFmtId="0" fontId="0" fillId="0" borderId="9" applyAlignment="1" pivotButton="0" quotePrefix="0" xfId="1">
      <alignment horizontal="left" vertical="center" wrapText="1"/>
    </xf>
    <xf numFmtId="0" fontId="0" fillId="0" borderId="59" applyAlignment="1" pivotButton="0" quotePrefix="0" xfId="1">
      <alignment horizontal="left" vertical="center" wrapText="1"/>
    </xf>
    <xf numFmtId="0" fontId="5" fillId="0" borderId="0" applyAlignment="1" pivotButton="0" quotePrefix="0" xfId="1">
      <alignment horizontal="center" vertical="center"/>
    </xf>
    <xf numFmtId="0" fontId="6" fillId="3" borderId="44" applyAlignment="1" pivotButton="0" quotePrefix="0" xfId="1">
      <alignment horizontal="center" vertical="center"/>
    </xf>
    <xf numFmtId="0" fontId="6" fillId="3" borderId="39" applyAlignment="1" pivotButton="0" quotePrefix="0" xfId="1">
      <alignment horizontal="center" vertical="center"/>
    </xf>
    <xf numFmtId="0" fontId="9" fillId="3" borderId="47" applyAlignment="1" pivotButton="0" quotePrefix="0" xfId="1">
      <alignment horizontal="center" vertical="center" wrapText="1"/>
    </xf>
    <xf numFmtId="0" fontId="1" fillId="3" borderId="53" applyAlignment="1" pivotButton="0" quotePrefix="0" xfId="1">
      <alignment horizontal="center" vertical="center" wrapText="1"/>
    </xf>
    <xf numFmtId="0" fontId="0" fillId="2" borderId="0" applyAlignment="1" pivotButton="0" quotePrefix="0" xfId="0">
      <alignment vertical="center"/>
    </xf>
    <xf numFmtId="0" fontId="0" fillId="0" borderId="0" applyAlignment="1" pivotButton="0" quotePrefix="0" xfId="0">
      <alignment vertical="center"/>
    </xf>
    <xf numFmtId="0" fontId="6" fillId="3" borderId="45" applyAlignment="1" pivotButton="0" quotePrefix="0" xfId="1">
      <alignment horizontal="center" vertical="center"/>
    </xf>
    <xf numFmtId="0" fontId="6" fillId="3" borderId="20" applyAlignment="1" pivotButton="0" quotePrefix="0" xfId="1">
      <alignment horizontal="center" vertical="center"/>
    </xf>
    <xf numFmtId="0" fontId="9" fillId="3" borderId="1" applyAlignment="1" pivotButton="0" quotePrefix="0" xfId="1">
      <alignment horizontal="center" vertical="center" wrapText="1"/>
    </xf>
    <xf numFmtId="0" fontId="1" fillId="3" borderId="5" applyAlignment="1" pivotButton="0" quotePrefix="0" xfId="1">
      <alignment horizontal="center" vertical="center" wrapText="1"/>
    </xf>
    <xf numFmtId="0" fontId="6" fillId="3" borderId="0" applyAlignment="1" pivotButton="0" quotePrefix="0" xfId="1">
      <alignment vertical="center" wrapText="1"/>
    </xf>
    <xf numFmtId="0" fontId="1" fillId="3" borderId="6" applyAlignment="1" pivotButton="0" quotePrefix="0" xfId="1">
      <alignment horizontal="center" vertical="center"/>
    </xf>
    <xf numFmtId="14" fontId="1" fillId="3" borderId="14" applyAlignment="1" pivotButton="0" quotePrefix="0" xfId="1">
      <alignment horizontal="center" vertical="center" wrapText="1"/>
    </xf>
    <xf numFmtId="0" fontId="1" fillId="3" borderId="15" applyAlignment="1" pivotButton="0" quotePrefix="0" xfId="1">
      <alignment horizontal="center" vertical="center" wrapText="1"/>
    </xf>
    <xf numFmtId="0" fontId="1" fillId="3" borderId="57" applyAlignment="1" pivotButton="0" quotePrefix="0" xfId="1">
      <alignment horizontal="center" vertical="center" wrapText="1"/>
    </xf>
    <xf numFmtId="0" fontId="0" fillId="0" borderId="34" applyAlignment="1" pivotButton="0" quotePrefix="0" xfId="1">
      <alignment horizontal="left" vertical="center"/>
    </xf>
    <xf numFmtId="0" fontId="0" fillId="0" borderId="35" applyAlignment="1" pivotButton="0" quotePrefix="0" xfId="1">
      <alignment horizontal="left" vertical="center"/>
    </xf>
    <xf numFmtId="0" fontId="0" fillId="0" borderId="36" applyAlignment="1" pivotButton="0" quotePrefix="0" xfId="1">
      <alignment horizontal="left" vertical="center"/>
    </xf>
    <xf numFmtId="0" fontId="0" fillId="0" borderId="32" applyAlignment="1" pivotButton="0" quotePrefix="0" xfId="1">
      <alignment horizontal="left" vertical="center"/>
    </xf>
    <xf numFmtId="0" fontId="0" fillId="0" borderId="33" applyAlignment="1" pivotButton="0" quotePrefix="0" xfId="1">
      <alignment horizontal="left" vertical="center"/>
    </xf>
    <xf numFmtId="0" fontId="0" fillId="0" borderId="61" applyAlignment="1" pivotButton="0" quotePrefix="0" xfId="1">
      <alignment horizontal="left" vertical="center"/>
    </xf>
    <xf numFmtId="0" fontId="1" fillId="2" borderId="22" applyAlignment="1" pivotButton="0" quotePrefix="0" xfId="0">
      <alignment horizontal="center" vertical="center" wrapText="1"/>
    </xf>
    <xf numFmtId="0" fontId="0" fillId="2" borderId="7" applyAlignment="1" pivotButton="0" quotePrefix="0" xfId="0">
      <alignment horizontal="center" vertical="center"/>
    </xf>
    <xf numFmtId="0" fontId="0" fillId="0" borderId="1" applyAlignment="1" pivotButton="0" quotePrefix="0" xfId="1">
      <alignment horizontal="left" vertical="center"/>
    </xf>
    <xf numFmtId="0" fontId="0" fillId="0" borderId="0" applyAlignment="1" pivotButton="0" quotePrefix="0" xfId="1">
      <alignment horizontal="left" vertical="center"/>
    </xf>
    <xf numFmtId="0" fontId="0" fillId="0" borderId="20" applyAlignment="1" pivotButton="0" quotePrefix="0" xfId="1">
      <alignment horizontal="left" vertical="center"/>
    </xf>
    <xf numFmtId="0" fontId="0" fillId="0" borderId="34" applyAlignment="1" pivotButton="0" quotePrefix="0" xfId="1">
      <alignment horizontal="left" vertical="center"/>
    </xf>
    <xf numFmtId="0" fontId="0" fillId="0" borderId="35" applyAlignment="1" pivotButton="0" quotePrefix="0" xfId="1">
      <alignment horizontal="left" vertical="center"/>
    </xf>
    <xf numFmtId="0" fontId="0" fillId="0" borderId="62" applyAlignment="1" pivotButton="0" quotePrefix="0" xfId="1">
      <alignment horizontal="left" vertical="center"/>
    </xf>
    <xf numFmtId="0" fontId="1" fillId="2" borderId="23" applyAlignment="1" pivotButton="0" quotePrefix="0" xfId="0">
      <alignment horizontal="center" vertical="center"/>
    </xf>
    <xf numFmtId="0" fontId="0" fillId="2" borderId="8" applyAlignment="1" pivotButton="0" quotePrefix="0" xfId="0">
      <alignment horizontal="center" vertical="center"/>
    </xf>
    <xf numFmtId="0" fontId="0" fillId="0" borderId="27" applyAlignment="1" pivotButton="0" quotePrefix="0" xfId="1">
      <alignment horizontal="left" vertical="center"/>
    </xf>
    <xf numFmtId="0" fontId="0" fillId="0" borderId="28" applyAlignment="1" pivotButton="0" quotePrefix="0" xfId="1">
      <alignment horizontal="left" vertical="center"/>
    </xf>
    <xf numFmtId="0" fontId="0" fillId="0" borderId="29" applyAlignment="1" pivotButton="0" quotePrefix="0" xfId="1">
      <alignment horizontal="left" vertical="center"/>
    </xf>
    <xf numFmtId="0" fontId="0" fillId="0" borderId="27" applyAlignment="1" pivotButton="0" quotePrefix="0" xfId="1">
      <alignment horizontal="left" vertical="center"/>
    </xf>
    <xf numFmtId="0" fontId="0" fillId="0" borderId="28" applyAlignment="1" pivotButton="0" quotePrefix="0" xfId="1">
      <alignment horizontal="left" vertical="center"/>
    </xf>
    <xf numFmtId="0" fontId="0" fillId="0" borderId="63" applyAlignment="1" pivotButton="0" quotePrefix="0" xfId="1">
      <alignment horizontal="left" vertical="center"/>
    </xf>
    <xf numFmtId="0" fontId="8" fillId="2" borderId="0" applyAlignment="1" pivotButton="0" quotePrefix="0" xfId="0">
      <alignment vertical="center"/>
    </xf>
    <xf numFmtId="14" fontId="0" fillId="0" borderId="27" applyAlignment="1" pivotButton="0" quotePrefix="0" xfId="1">
      <alignment horizontal="left" vertical="center"/>
    </xf>
    <xf numFmtId="0" fontId="0" fillId="2" borderId="34" applyAlignment="1" pivotButton="0" quotePrefix="0" xfId="1">
      <alignment horizontal="left" vertical="center"/>
    </xf>
    <xf numFmtId="0" fontId="0" fillId="2" borderId="35" applyAlignment="1" pivotButton="0" quotePrefix="0" xfId="1">
      <alignment horizontal="left" vertical="center"/>
    </xf>
    <xf numFmtId="0" fontId="0" fillId="2" borderId="62" applyAlignment="1" pivotButton="0" quotePrefix="0" xfId="1">
      <alignment horizontal="left" vertical="center"/>
    </xf>
    <xf numFmtId="0" fontId="0" fillId="0" borderId="31" applyAlignment="1" pivotButton="0" quotePrefix="0" xfId="1">
      <alignment horizontal="left" vertical="center"/>
    </xf>
    <xf numFmtId="0" fontId="0" fillId="0" borderId="30" applyAlignment="1" pivotButton="0" quotePrefix="0" xfId="1">
      <alignment horizontal="left" vertical="center"/>
    </xf>
    <xf numFmtId="0" fontId="0" fillId="0" borderId="37" applyAlignment="1" pivotButton="0" quotePrefix="0" xfId="1">
      <alignment horizontal="left" vertical="center"/>
    </xf>
    <xf numFmtId="0" fontId="0" fillId="0" borderId="31" applyAlignment="1" pivotButton="0" quotePrefix="0" xfId="1">
      <alignment horizontal="left" vertical="center"/>
    </xf>
    <xf numFmtId="0" fontId="0" fillId="0" borderId="30" applyAlignment="1" pivotButton="0" quotePrefix="0" xfId="1">
      <alignment horizontal="left" vertical="center"/>
    </xf>
    <xf numFmtId="0" fontId="0" fillId="0" borderId="64" applyAlignment="1" pivotButton="0" quotePrefix="0" xfId="1">
      <alignment horizontal="left" vertical="center"/>
    </xf>
    <xf numFmtId="0" fontId="0" fillId="0" borderId="60" applyAlignment="1" pivotButton="0" quotePrefix="0" xfId="1">
      <alignment horizontal="center" vertical="center" wrapText="1"/>
    </xf>
    <xf numFmtId="0" fontId="0" fillId="0" borderId="45" applyAlignment="1" pivotButton="0" quotePrefix="0" xfId="1">
      <alignment horizontal="center" vertical="center" wrapText="1"/>
    </xf>
    <xf numFmtId="0" fontId="0" fillId="0" borderId="68" applyAlignment="1" pivotButton="0" quotePrefix="0" xfId="1">
      <alignment horizontal="center" vertical="center" wrapText="1"/>
    </xf>
    <xf numFmtId="0" fontId="1" fillId="0" borderId="60" applyAlignment="1" pivotButton="0" quotePrefix="0" xfId="1">
      <alignment horizontal="center" vertical="center"/>
    </xf>
    <xf numFmtId="0" fontId="1" fillId="0" borderId="15" applyAlignment="1" pivotButton="0" quotePrefix="0" xfId="1">
      <alignment horizontal="center" vertical="center"/>
    </xf>
    <xf numFmtId="0" fontId="1" fillId="0" borderId="15" applyAlignment="1" pivotButton="0" quotePrefix="0" xfId="1">
      <alignment horizontal="left" vertical="center" wrapText="1"/>
    </xf>
    <xf numFmtId="0" fontId="1" fillId="0" borderId="57" applyAlignment="1" pivotButton="0" quotePrefix="0" xfId="1">
      <alignment horizontal="left" vertical="center" wrapText="1"/>
    </xf>
    <xf numFmtId="0" fontId="1" fillId="0" borderId="45" applyAlignment="1" pivotButton="0" quotePrefix="0" xfId="1">
      <alignment horizontal="center" vertical="center"/>
    </xf>
    <xf numFmtId="0" fontId="1" fillId="0" borderId="0" applyAlignment="1" pivotButton="0" quotePrefix="0" xfId="1">
      <alignment horizontal="center" vertical="center"/>
    </xf>
    <xf numFmtId="0" fontId="1" fillId="0" borderId="0" applyAlignment="1" pivotButton="0" quotePrefix="0" xfId="1">
      <alignment horizontal="left" vertical="center" wrapText="1"/>
    </xf>
    <xf numFmtId="0" fontId="1" fillId="0" borderId="67" applyAlignment="1" pivotButton="0" quotePrefix="0" xfId="1">
      <alignment horizontal="left" vertical="center" wrapText="1"/>
    </xf>
    <xf numFmtId="0" fontId="1" fillId="0" borderId="68" applyAlignment="1" pivotButton="0" quotePrefix="0" xfId="1">
      <alignment horizontal="center" vertical="center"/>
    </xf>
    <xf numFmtId="0" fontId="1" fillId="0" borderId="13" applyAlignment="1" pivotButton="0" quotePrefix="0" xfId="1">
      <alignment horizontal="left" vertical="center" wrapText="1"/>
    </xf>
    <xf numFmtId="0" fontId="1" fillId="0" borderId="69" applyAlignment="1" pivotButton="0" quotePrefix="0" xfId="1">
      <alignment horizontal="left" vertical="center" wrapText="1"/>
    </xf>
    <xf numFmtId="0" fontId="1" fillId="0" borderId="60" applyAlignment="1" pivotButton="0" quotePrefix="0" xfId="1">
      <alignment vertical="center"/>
    </xf>
    <xf numFmtId="0" fontId="1" fillId="0" borderId="2" applyAlignment="1" pivotButton="0" quotePrefix="0" xfId="1">
      <alignment vertical="center"/>
    </xf>
    <xf numFmtId="0" fontId="1" fillId="0" borderId="3" applyAlignment="1" pivotButton="0" quotePrefix="0" xfId="1">
      <alignment vertical="center"/>
    </xf>
    <xf numFmtId="0" fontId="1" fillId="0" borderId="4" applyAlignment="1" pivotButton="0" quotePrefix="0" xfId="1">
      <alignment vertical="center"/>
    </xf>
    <xf numFmtId="0" fontId="1" fillId="0" borderId="2" applyAlignment="1" pivotButton="0" quotePrefix="0" xfId="1">
      <alignment horizontal="center" vertical="center"/>
    </xf>
    <xf numFmtId="0" fontId="1" fillId="0" borderId="3" applyAlignment="1" pivotButton="0" quotePrefix="0" xfId="1">
      <alignment horizontal="center" vertical="center"/>
    </xf>
    <xf numFmtId="0" fontId="1" fillId="0" borderId="70" applyAlignment="1" pivotButton="0" quotePrefix="0" xfId="1">
      <alignment horizontal="center" vertical="center"/>
    </xf>
    <xf numFmtId="0" fontId="1" fillId="3" borderId="17" applyAlignment="1" pivotButton="0" quotePrefix="0" xfId="0">
      <alignment horizontal="center" vertical="center" textRotation="255"/>
    </xf>
    <xf numFmtId="0" fontId="1" fillId="3" borderId="18" applyAlignment="1" pivotButton="0" quotePrefix="0" xfId="0">
      <alignment horizontal="center" vertical="center" textRotation="255"/>
    </xf>
    <xf numFmtId="0" fontId="1" fillId="0" borderId="4" applyAlignment="1" pivotButton="0" quotePrefix="0" xfId="1">
      <alignment horizontal="center" vertical="center" wrapText="1"/>
    </xf>
    <xf numFmtId="0" fontId="1" fillId="0" borderId="2" applyAlignment="1" pivotButton="0" quotePrefix="0" xfId="1">
      <alignment horizontal="center" vertical="center" wrapText="1"/>
    </xf>
    <xf numFmtId="0" fontId="1" fillId="0" borderId="70" applyAlignment="1" pivotButton="0" quotePrefix="0" xfId="1">
      <alignment horizontal="center" vertical="center" wrapText="1"/>
    </xf>
    <xf numFmtId="0" fontId="0" fillId="0" borderId="40" applyAlignment="1" pivotButton="0" quotePrefix="0" xfId="0">
      <alignment horizontal="center" vertical="center" wrapText="1"/>
    </xf>
    <xf numFmtId="0" fontId="0" fillId="0" borderId="41" applyAlignment="1" pivotButton="0" quotePrefix="0" xfId="0">
      <alignment horizontal="center" vertical="center" wrapText="1"/>
    </xf>
    <xf numFmtId="0" fontId="1" fillId="3" borderId="19" applyAlignment="1" pivotButton="0" quotePrefix="0" xfId="0">
      <alignment horizontal="center" vertical="center" textRotation="255"/>
    </xf>
    <xf numFmtId="0" fontId="0" fillId="0" borderId="11" applyAlignment="1" pivotButton="0" quotePrefix="0" xfId="1">
      <alignment horizontal="center" vertical="center" wrapText="1"/>
    </xf>
    <xf numFmtId="0" fontId="0" fillId="0" borderId="9" pivotButton="0" quotePrefix="0" xfId="0"/>
    <xf numFmtId="0" fontId="0" fillId="0" borderId="10" pivotButton="0" quotePrefix="0" xfId="0"/>
    <xf numFmtId="0" fontId="0" fillId="0" borderId="59" applyAlignment="1" pivotButton="0" quotePrefix="0" xfId="1">
      <alignment horizontal="center" vertical="center" wrapText="1"/>
    </xf>
    <xf numFmtId="0" fontId="0" fillId="0" borderId="74" applyAlignment="1" pivotButton="0" quotePrefix="0" xfId="1">
      <alignment horizontal="center" vertical="center"/>
    </xf>
    <xf numFmtId="0" fontId="0" fillId="0" borderId="16" applyAlignment="1" pivotButton="0" quotePrefix="0" xfId="1">
      <alignment horizontal="center" vertical="center"/>
    </xf>
    <xf numFmtId="0" fontId="0" fillId="0" borderId="20" applyAlignment="1" pivotButton="0" quotePrefix="0" xfId="1">
      <alignment horizontal="center" vertical="center"/>
    </xf>
    <xf numFmtId="0" fontId="0" fillId="0" borderId="49" applyAlignment="1" pivotButton="0" quotePrefix="0" xfId="1">
      <alignment horizontal="center" vertical="center"/>
    </xf>
    <xf numFmtId="0" fontId="0" fillId="0" borderId="24" applyAlignment="1" pivotButton="0" quotePrefix="0" xfId="1">
      <alignment horizontal="center" vertical="center"/>
    </xf>
    <xf numFmtId="0" fontId="0" fillId="0" borderId="8" applyAlignment="1" pivotButton="0" quotePrefix="0" xfId="1">
      <alignment horizontal="center" vertical="center"/>
    </xf>
    <xf numFmtId="0" fontId="1" fillId="3" borderId="50" applyAlignment="1" pivotButton="0" quotePrefix="0" xfId="0">
      <alignment horizontal="center" vertical="center" textRotation="255"/>
    </xf>
    <xf numFmtId="0" fontId="1" fillId="3" borderId="51" applyAlignment="1" pivotButton="0" quotePrefix="0" xfId="0">
      <alignment horizontal="center" vertical="center" textRotation="255"/>
    </xf>
    <xf numFmtId="0" fontId="1" fillId="3" borderId="52" applyAlignment="1" pivotButton="0" quotePrefix="0" xfId="0">
      <alignment horizontal="center" vertical="center" textRotation="255"/>
    </xf>
    <xf numFmtId="0" fontId="0" fillId="2" borderId="0" applyAlignment="1" pivotButton="0" quotePrefix="0" xfId="0">
      <alignment horizontal="left" vertical="center" wrapText="1"/>
    </xf>
    <xf numFmtId="0" fontId="1" fillId="2" borderId="0" applyAlignment="1" pivotButton="0" quotePrefix="0" xfId="0">
      <alignment vertical="center" wrapText="1"/>
    </xf>
    <xf numFmtId="0" fontId="0" fillId="0" borderId="0" applyAlignment="1" pivotButton="0" quotePrefix="0" xfId="0">
      <alignment horizontal="center"/>
    </xf>
    <xf numFmtId="0" fontId="3"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vertical="top" wrapText="1"/>
    </xf>
    <xf numFmtId="0" fontId="6" fillId="3" borderId="106" applyAlignment="1" pivotButton="0" quotePrefix="0" xfId="1">
      <alignment horizontal="center" vertical="center"/>
    </xf>
    <xf numFmtId="0" fontId="0" fillId="0" borderId="39" pivotButton="0" quotePrefix="0" xfId="0"/>
    <xf numFmtId="0" fontId="0" fillId="0" borderId="22" pivotButton="0" quotePrefix="0" xfId="0"/>
    <xf numFmtId="0" fontId="0" fillId="0" borderId="45" pivotButton="0" quotePrefix="0" xfId="0"/>
    <xf numFmtId="0" fontId="0" fillId="0" borderId="20" pivotButton="0" quotePrefix="0" xfId="0"/>
    <xf numFmtId="0" fontId="0" fillId="0" borderId="1" pivotButton="0" quotePrefix="0" xfId="0"/>
    <xf numFmtId="14" fontId="1" fillId="3" borderId="73" applyAlignment="1" pivotButton="0" quotePrefix="0" xfId="1">
      <alignment horizontal="center" vertical="center" wrapText="1"/>
    </xf>
    <xf numFmtId="0" fontId="0" fillId="0" borderId="15" pivotButton="0" quotePrefix="0" xfId="0"/>
    <xf numFmtId="0" fontId="0" fillId="0" borderId="57" pivotButton="0" quotePrefix="0" xfId="0"/>
    <xf numFmtId="0" fontId="0" fillId="0" borderId="59" pivotButton="0" quotePrefix="0" xfId="0"/>
    <xf numFmtId="0" fontId="1" fillId="0" borderId="87" applyAlignment="1" pivotButton="0" quotePrefix="0" xfId="1">
      <alignment horizontal="left" vertical="center"/>
    </xf>
    <xf numFmtId="0" fontId="0" fillId="0" borderId="16" pivotButton="0" quotePrefix="0" xfId="0"/>
    <xf numFmtId="0" fontId="0" fillId="0" borderId="101" applyAlignment="1" pivotButton="0" quotePrefix="0" xfId="1">
      <alignment horizontal="left" vertical="center"/>
    </xf>
    <xf numFmtId="0" fontId="0" fillId="0" borderId="35" pivotButton="0" quotePrefix="0" xfId="0"/>
    <xf numFmtId="0" fontId="0" fillId="0" borderId="36" pivotButton="0" quotePrefix="0" xfId="0"/>
    <xf numFmtId="0" fontId="0" fillId="0" borderId="99" applyAlignment="1" pivotButton="0" quotePrefix="0" xfId="1">
      <alignment horizontal="left" vertical="center"/>
    </xf>
    <xf numFmtId="0" fontId="0" fillId="0" borderId="33" pivotButton="0" quotePrefix="0" xfId="0"/>
    <xf numFmtId="0" fontId="0" fillId="0" borderId="61" pivotButton="0" quotePrefix="0" xfId="0"/>
    <xf numFmtId="0" fontId="1" fillId="2" borderId="80" applyAlignment="1" pivotButton="0" quotePrefix="0" xfId="0">
      <alignment horizontal="center" vertical="center" wrapText="1"/>
    </xf>
    <xf numFmtId="0" fontId="0" fillId="2" borderId="79" applyAlignment="1" pivotButton="0" quotePrefix="0" xfId="0">
      <alignment horizontal="center" vertical="center"/>
    </xf>
    <xf numFmtId="0" fontId="1" fillId="0" borderId="88" applyAlignment="1" pivotButton="0" quotePrefix="0" xfId="1">
      <alignment horizontal="left" vertical="center"/>
    </xf>
    <xf numFmtId="0" fontId="0" fillId="0" borderId="26" applyAlignment="1" pivotButton="0" quotePrefix="0" xfId="1">
      <alignment horizontal="left" vertical="center"/>
    </xf>
    <xf numFmtId="0" fontId="0" fillId="0" borderId="100" applyAlignment="1" pivotButton="0" quotePrefix="0" xfId="1">
      <alignment horizontal="left" vertical="center"/>
    </xf>
    <xf numFmtId="0" fontId="0" fillId="0" borderId="62" pivotButton="0" quotePrefix="0" xfId="0"/>
    <xf numFmtId="0" fontId="0" fillId="0" borderId="23" pivotButton="0" quotePrefix="0" xfId="0"/>
    <xf numFmtId="0" fontId="0" fillId="0" borderId="8" pivotButton="0" quotePrefix="0" xfId="0"/>
    <xf numFmtId="0" fontId="0" fillId="0" borderId="84" applyAlignment="1" pivotButton="0" quotePrefix="0" xfId="1">
      <alignment horizontal="left" vertical="center"/>
    </xf>
    <xf numFmtId="0" fontId="0" fillId="0" borderId="28" pivotButton="0" quotePrefix="0" xfId="0"/>
    <xf numFmtId="0" fontId="0" fillId="0" borderId="29" pivotButton="0" quotePrefix="0" xfId="0"/>
    <xf numFmtId="0" fontId="0" fillId="0" borderId="82" applyAlignment="1" pivotButton="0" quotePrefix="0" xfId="1">
      <alignment horizontal="left" vertical="center"/>
    </xf>
    <xf numFmtId="0" fontId="0" fillId="0" borderId="63" pivotButton="0" quotePrefix="0" xfId="0"/>
    <xf numFmtId="14" fontId="0" fillId="0" borderId="84" applyAlignment="1" pivotButton="0" quotePrefix="0" xfId="1">
      <alignment horizontal="left" vertical="center"/>
    </xf>
    <xf numFmtId="0" fontId="0" fillId="2" borderId="100" applyAlignment="1" pivotButton="0" quotePrefix="0" xfId="1">
      <alignment horizontal="left" vertical="center"/>
    </xf>
    <xf numFmtId="0" fontId="1" fillId="0" borderId="105" applyAlignment="1" pivotButton="0" quotePrefix="0" xfId="1">
      <alignment horizontal="left" vertical="center"/>
    </xf>
    <xf numFmtId="0" fontId="0" fillId="0" borderId="24" pivotButton="0" quotePrefix="0" xfId="0"/>
    <xf numFmtId="0" fontId="0" fillId="0" borderId="102" applyAlignment="1" pivotButton="0" quotePrefix="0" xfId="1">
      <alignment horizontal="left" vertical="center"/>
    </xf>
    <xf numFmtId="0" fontId="0" fillId="0" borderId="30" pivotButton="0" quotePrefix="0" xfId="0"/>
    <xf numFmtId="0" fontId="0" fillId="0" borderId="37" pivotButton="0" quotePrefix="0" xfId="0"/>
    <xf numFmtId="0" fontId="0" fillId="0" borderId="98" applyAlignment="1" pivotButton="0" quotePrefix="0" xfId="1">
      <alignment horizontal="left" vertical="center"/>
    </xf>
    <xf numFmtId="0" fontId="0" fillId="0" borderId="64" pivotButton="0" quotePrefix="0" xfId="0"/>
    <xf numFmtId="0" fontId="1" fillId="3" borderId="50" applyAlignment="1" pivotButton="0" quotePrefix="0" xfId="1">
      <alignment horizontal="left" vertical="center"/>
    </xf>
    <xf numFmtId="0" fontId="0" fillId="0" borderId="21" pivotButton="0" quotePrefix="0" xfId="0"/>
    <xf numFmtId="0" fontId="0" fillId="0" borderId="78" pivotButton="0" quotePrefix="0" xfId="0"/>
    <xf numFmtId="0" fontId="1" fillId="0" borderId="58" applyAlignment="1" pivotButton="0" quotePrefix="0" xfId="1">
      <alignment horizontal="center" vertical="center"/>
    </xf>
    <xf numFmtId="0" fontId="1" fillId="0" borderId="72" applyAlignment="1" pivotButton="0" quotePrefix="0" xfId="1">
      <alignment horizontal="center" vertical="center"/>
    </xf>
    <xf numFmtId="0" fontId="0" fillId="0" borderId="58" applyAlignment="1" pivotButton="0" quotePrefix="0" xfId="1">
      <alignment horizontal="center" vertical="center" wrapText="1"/>
    </xf>
    <xf numFmtId="0" fontId="0" fillId="0" borderId="72" applyAlignment="1" pivotButton="0" quotePrefix="0" xfId="1">
      <alignment horizontal="center" vertical="center" wrapText="1"/>
    </xf>
    <xf numFmtId="0" fontId="0" fillId="0" borderId="67" pivotButton="0" quotePrefix="0" xfId="0"/>
    <xf numFmtId="0" fontId="0" fillId="0" borderId="68" pivotButton="0" quotePrefix="0" xfId="0"/>
    <xf numFmtId="0" fontId="0" fillId="0" borderId="13" pivotButton="0" quotePrefix="0" xfId="0"/>
    <xf numFmtId="0" fontId="0" fillId="0" borderId="38" pivotButton="0" quotePrefix="0" xfId="0"/>
    <xf numFmtId="0" fontId="0" fillId="0" borderId="12" pivotButton="0" quotePrefix="0" xfId="0"/>
    <xf numFmtId="0" fontId="0" fillId="0" borderId="69" pivotButton="0" quotePrefix="0" xfId="0"/>
    <xf numFmtId="0" fontId="1" fillId="0" borderId="59" applyAlignment="1" pivotButton="0" quotePrefix="0" xfId="1">
      <alignment horizontal="left" vertical="center" wrapText="1"/>
    </xf>
    <xf numFmtId="0" fontId="0" fillId="0" borderId="3" pivotButton="0" quotePrefix="0" xfId="0"/>
    <xf numFmtId="0" fontId="0" fillId="0" borderId="2" pivotButton="0" quotePrefix="0" xfId="0"/>
    <xf numFmtId="0" fontId="0" fillId="0" borderId="70" pivotButton="0" quotePrefix="0" xfId="0"/>
    <xf numFmtId="0" fontId="1" fillId="3" borderId="86" applyAlignment="1" pivotButton="0" quotePrefix="0" xfId="0">
      <alignment horizontal="center" vertical="center" textRotation="255"/>
    </xf>
    <xf numFmtId="0" fontId="0" fillId="0" borderId="18" pivotButton="0" quotePrefix="0" xfId="0"/>
    <xf numFmtId="0" fontId="0" fillId="0" borderId="73" applyAlignment="1" pivotButton="0" quotePrefix="0" xfId="1">
      <alignment horizontal="center" vertical="center" wrapText="1"/>
    </xf>
    <xf numFmtId="0" fontId="1" fillId="0" borderId="74" applyAlignment="1" pivotButton="0" quotePrefix="0" xfId="1">
      <alignment horizontal="center" vertical="center" wrapText="1"/>
    </xf>
    <xf numFmtId="0" fontId="1" fillId="3" borderId="80" applyAlignment="1" pivotButton="0" quotePrefix="0" xfId="1">
      <alignment horizontal="center" vertical="center" wrapText="1" shrinkToFit="1"/>
    </xf>
    <xf numFmtId="0" fontId="0" fillId="0" borderId="103" applyAlignment="1" pivotButton="0" quotePrefix="0" xfId="1">
      <alignment horizontal="center" vertical="center" wrapText="1"/>
    </xf>
    <xf numFmtId="0" fontId="0" fillId="0" borderId="7" pivotButton="0" quotePrefix="0" xfId="0"/>
    <xf numFmtId="0" fontId="0" fillId="0" borderId="48" pivotButton="0" quotePrefix="0" xfId="0"/>
    <xf numFmtId="0" fontId="0" fillId="0" borderId="48" applyAlignment="1" pivotButton="0" quotePrefix="0" xfId="1">
      <alignment horizontal="center" vertical="center"/>
    </xf>
    <xf numFmtId="0" fontId="1" fillId="3" borderId="92" applyAlignment="1" pivotButton="0" quotePrefix="0" xfId="1">
      <alignment horizontal="center" vertical="center" wrapText="1" shrinkToFit="1"/>
    </xf>
    <xf numFmtId="0" fontId="1" fillId="0" borderId="71" applyAlignment="1" pivotButton="0" quotePrefix="0" xfId="1">
      <alignment horizontal="center" vertical="center"/>
    </xf>
    <xf numFmtId="0" fontId="0" fillId="0" borderId="94" pivotButton="0" quotePrefix="0" xfId="0"/>
    <xf numFmtId="0" fontId="0" fillId="0" borderId="96" pivotButton="0" quotePrefix="0" xfId="0"/>
    <xf numFmtId="0" fontId="0" fillId="0" borderId="97" pivotButton="0" quotePrefix="0" xfId="0"/>
    <xf numFmtId="0" fontId="0" fillId="0" borderId="91" pivotButton="0" quotePrefix="0" xfId="0"/>
    <xf numFmtId="0" fontId="0" fillId="0" borderId="89" pivotButton="0" quotePrefix="0" xfId="0"/>
    <xf numFmtId="0" fontId="0" fillId="0" borderId="95" pivotButton="0" quotePrefix="0" xfId="0"/>
    <xf numFmtId="0" fontId="0" fillId="0" borderId="90" pivotButton="0" quotePrefix="0" xfId="0"/>
    <xf numFmtId="0" fontId="0" fillId="0" borderId="49" pivotButton="0" quotePrefix="0" xfId="0"/>
    <xf numFmtId="0" fontId="4" fillId="0" borderId="5" applyAlignment="1" pivotButton="0" quotePrefix="0" xfId="1">
      <alignment horizontal="center" vertical="center"/>
    </xf>
    <xf numFmtId="0" fontId="0" fillId="0" borderId="19" pivotButton="0" quotePrefix="0" xfId="0"/>
    <xf numFmtId="0" fontId="1" fillId="3" borderId="104" applyAlignment="1" pivotButton="0" quotePrefix="0" xfId="1">
      <alignment horizontal="center" vertical="center" wrapText="1" shrinkToFit="1"/>
    </xf>
    <xf numFmtId="0" fontId="1" fillId="0" borderId="72" applyAlignment="1" pivotButton="0" quotePrefix="0" xfId="1">
      <alignment horizontal="center" vertical="center" wrapText="1"/>
    </xf>
    <xf numFmtId="0" fontId="0" fillId="0" borderId="46" pivotButton="0" quotePrefix="0" xfId="0"/>
    <xf numFmtId="0" fontId="0" fillId="0" borderId="103" applyAlignment="1" pivotButton="0" quotePrefix="0" xfId="1">
      <alignment horizontal="center" vertical="center"/>
    </xf>
    <xf numFmtId="14" fontId="0" fillId="0" borderId="59" applyAlignment="1" pivotButton="0" quotePrefix="0" xfId="1">
      <alignment horizontal="center" vertical="center"/>
    </xf>
    <xf numFmtId="0" fontId="0" fillId="0" borderId="107" pivotButton="0" quotePrefix="0" xfId="0"/>
  </cellXfs>
  <cellStyles count="2">
    <cellStyle name="Normal" xfId="0" builtinId="0"/>
    <cellStyle name="Hi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Plan1">
    <outlinePr summaryBelow="1" summaryRight="1"/>
    <pageSetUpPr fitToPage="1"/>
  </sheetPr>
  <dimension ref="A1:R118"/>
  <sheetViews>
    <sheetView showGridLines="0" tabSelected="1" topLeftCell="A33" zoomScale="130" zoomScaleNormal="130" zoomScaleSheetLayoutView="100" workbookViewId="0">
      <selection activeCell="A1" sqref="A1:B3"/>
    </sheetView>
  </sheetViews>
  <sheetFormatPr baseColWidth="8" defaultColWidth="9.140625" defaultRowHeight="12.75"/>
  <cols>
    <col width="3.5703125" customWidth="1" style="152" min="1" max="1"/>
    <col width="10.5703125" customWidth="1" style="152" min="2" max="2"/>
    <col width="4.28515625" customWidth="1" style="152" min="3" max="3"/>
    <col width="16.85546875" customWidth="1" style="152" min="4" max="4"/>
    <col width="10.28515625" customWidth="1" style="152" min="5" max="9"/>
    <col width="11.5703125" customWidth="1" style="152" min="10" max="10"/>
    <col width="10.28515625" customWidth="1" style="152" min="11" max="12"/>
    <col width="18.5703125" customWidth="1" style="152" min="13" max="13"/>
    <col width="12.85546875" customWidth="1" style="152" min="14" max="14"/>
    <col width="10.5703125" bestFit="1" customWidth="1" style="152" min="15" max="15"/>
    <col hidden="1" width="9.140625" customWidth="1" style="152" min="16" max="16"/>
    <col width="9.140625" customWidth="1" style="152" min="17" max="16384"/>
  </cols>
  <sheetData>
    <row r="1" ht="20.25" customHeight="1" s="241">
      <c r="A1" s="243" t="n"/>
      <c r="B1" s="244" t="n"/>
      <c r="C1" s="149" t="n">
        <v>1</v>
      </c>
      <c r="D1" s="114" t="inlineStr">
        <is>
          <t>RELATÓRIO 8D — NÃO CONFORMIDADE (DELPI)</t>
        </is>
      </c>
      <c r="E1" s="245" t="n"/>
      <c r="F1" s="245" t="n"/>
      <c r="G1" s="245" t="n"/>
      <c r="H1" s="244" t="n"/>
      <c r="I1" s="150" t="n"/>
      <c r="J1" s="10">
        <f>IF(C1=1,"Recebimento","Receiving")</f>
        <v/>
      </c>
      <c r="K1" s="109">
        <f>IF(C1=1,"Data","Date")</f>
        <v/>
      </c>
      <c r="L1" s="245" t="n"/>
      <c r="M1" s="244" t="n"/>
      <c r="N1" s="151" t="n"/>
      <c r="O1" s="151" t="n"/>
      <c r="P1" s="151" t="n"/>
      <c r="Q1" s="151" t="n"/>
      <c r="R1" s="151" t="n"/>
    </row>
    <row r="2" ht="21" customHeight="1" s="241">
      <c r="A2" s="246" t="n"/>
      <c r="B2" s="247" t="n"/>
      <c r="C2" s="248" t="n"/>
      <c r="H2" s="247" t="n"/>
      <c r="I2" s="156" t="n"/>
      <c r="J2" s="8">
        <f>IF(C1=1,"Produção","Production")</f>
        <v/>
      </c>
      <c r="K2" s="248" t="n"/>
      <c r="M2" s="247" t="n"/>
      <c r="N2" s="151" t="n"/>
      <c r="O2" s="151" t="n"/>
      <c r="P2" s="151" t="n"/>
      <c r="Q2" s="151" t="n"/>
      <c r="R2" s="151" t="n"/>
    </row>
    <row r="3" ht="18.95" customHeight="1" s="241">
      <c r="A3" s="246" t="n"/>
      <c r="B3" s="247" t="n"/>
      <c r="C3" s="157" t="n"/>
      <c r="H3" s="247" t="n"/>
      <c r="I3" s="158" t="n"/>
      <c r="J3" s="8">
        <f>IF(C1=1,"Cliente Final","Customer")</f>
        <v/>
      </c>
      <c r="K3" s="249" t="n"/>
      <c r="L3" s="250" t="n"/>
      <c r="M3" s="251" t="n"/>
      <c r="N3" s="151" t="n"/>
      <c r="O3" s="151" t="n"/>
      <c r="P3" s="151" t="n"/>
      <c r="Q3" s="151" t="n"/>
      <c r="R3" s="151" t="n"/>
    </row>
    <row r="4" ht="18.95" customHeight="1" s="241" thickBot="1">
      <c r="A4" s="133">
        <f>IF(C1=1,"Registro de Não conformidade    -","Nonconformity Report     -")</f>
        <v/>
      </c>
      <c r="B4" s="225" t="n"/>
      <c r="C4" s="225" t="n"/>
      <c r="D4" s="225" t="n"/>
      <c r="E4" s="225" t="n"/>
      <c r="F4" s="225" t="n"/>
      <c r="G4" s="225" t="n"/>
      <c r="H4" s="226" t="n"/>
      <c r="I4" s="120" t="inlineStr">
        <is>
          <t>XXXXXXXXXXX</t>
        </is>
      </c>
      <c r="J4" s="225" t="n"/>
      <c r="K4" s="225" t="n"/>
      <c r="L4" s="225" t="n"/>
      <c r="M4" s="252" t="n"/>
      <c r="N4" s="151" t="n"/>
      <c r="O4" s="151" t="n"/>
      <c r="P4" s="151" t="n"/>
      <c r="Q4" s="151" t="n"/>
      <c r="R4" s="151" t="n"/>
    </row>
    <row r="5" ht="15" customHeight="1" s="241">
      <c r="A5" s="253">
        <f>IF(C1=1,"Fornecedor","Supplier")</f>
        <v/>
      </c>
      <c r="B5" s="250" t="n"/>
      <c r="C5" s="250" t="n"/>
      <c r="D5" s="254" t="n"/>
      <c r="E5" s="255" t="n"/>
      <c r="F5" s="256" t="n"/>
      <c r="G5" s="257" t="n"/>
      <c r="H5" s="121">
        <f>IF(C1=1,"Contato","Contact")</f>
        <v/>
      </c>
      <c r="I5" s="256" t="n"/>
      <c r="J5" s="258" t="n"/>
      <c r="K5" s="259" t="n"/>
      <c r="L5" s="259" t="n"/>
      <c r="M5" s="260" t="n"/>
      <c r="N5" s="261" t="inlineStr">
        <is>
          <t>Selecionar 
idioma</t>
        </is>
      </c>
      <c r="O5" s="262" t="inlineStr">
        <is>
          <t>Português</t>
        </is>
      </c>
      <c r="P5" s="151" t="inlineStr">
        <is>
          <t>Português</t>
        </is>
      </c>
      <c r="Q5" s="151" t="n"/>
      <c r="R5" s="151" t="n"/>
    </row>
    <row r="6" ht="15" customHeight="1" s="241" thickBot="1">
      <c r="A6" s="263">
        <f>IF(C1=1,"Material","Material")</f>
        <v/>
      </c>
      <c r="D6" s="247" t="n"/>
      <c r="E6" s="264" t="n"/>
      <c r="G6" s="247" t="n"/>
      <c r="H6" s="93">
        <f>IF(C1=1,"Telefone","Phone")</f>
        <v/>
      </c>
      <c r="J6" s="265" t="n"/>
      <c r="K6" s="256" t="n"/>
      <c r="L6" s="256" t="n"/>
      <c r="M6" s="266" t="n"/>
      <c r="N6" s="267" t="n"/>
      <c r="O6" s="268" t="n"/>
      <c r="P6" s="151" t="inlineStr">
        <is>
          <t>English</t>
        </is>
      </c>
      <c r="Q6" s="151" t="n"/>
      <c r="R6" s="151" t="n"/>
    </row>
    <row r="7" ht="15" customHeight="1" s="241">
      <c r="A7" s="263">
        <f>IF(C1=1,"Especificação","Specification")</f>
        <v/>
      </c>
      <c r="D7" s="247" t="n"/>
      <c r="E7" s="269" t="n"/>
      <c r="F7" s="270" t="n"/>
      <c r="G7" s="271" t="n"/>
      <c r="H7" s="118" t="inlineStr">
        <is>
          <t>Fax</t>
        </is>
      </c>
      <c r="I7" s="270" t="n"/>
      <c r="J7" s="272" t="n"/>
      <c r="K7" s="270" t="n"/>
      <c r="L7" s="270" t="n"/>
      <c r="M7" s="273" t="n"/>
      <c r="N7" s="151" t="n"/>
      <c r="O7" s="151" t="n"/>
      <c r="P7" s="151" t="n"/>
      <c r="Q7" s="151" t="n"/>
      <c r="R7" s="151" t="n"/>
    </row>
    <row r="8" ht="15" customHeight="1" s="241">
      <c r="A8" s="263">
        <f>IF(C1=1,"Ordem Compra/Pos.","Purchase Order/Pos.")</f>
        <v/>
      </c>
      <c r="D8" s="247" t="n"/>
      <c r="E8" s="269" t="n"/>
      <c r="F8" s="270" t="n"/>
      <c r="G8" s="271" t="n"/>
      <c r="H8" s="118">
        <f>IF(C1=1,"Lote WEG","WEG Batch")</f>
        <v/>
      </c>
      <c r="I8" s="270" t="n"/>
      <c r="J8" s="272" t="n"/>
      <c r="K8" s="270" t="n"/>
      <c r="L8" s="270" t="n"/>
      <c r="M8" s="273" t="n"/>
      <c r="N8" s="184">
        <f>IF(C1=1,"Ocorrência","Occurrence")</f>
        <v/>
      </c>
      <c r="O8" s="184" t="inlineStr">
        <is>
          <t>Occurrence</t>
        </is>
      </c>
      <c r="P8" s="151" t="n"/>
      <c r="Q8" s="151" t="n"/>
      <c r="R8" s="151" t="n"/>
    </row>
    <row r="9" ht="15" customHeight="1" s="241">
      <c r="A9" s="263">
        <f>IF(C1=1,"Nota Fiscal","Invoice")</f>
        <v/>
      </c>
      <c r="D9" s="247" t="n"/>
      <c r="E9" s="269" t="n"/>
      <c r="F9" s="270" t="n"/>
      <c r="G9" s="271" t="n"/>
      <c r="H9" s="118">
        <f>IF(C1=1,"Lote Fornecedor","Supplier Batch")</f>
        <v/>
      </c>
      <c r="I9" s="270" t="n"/>
      <c r="J9" s="272" t="n"/>
      <c r="K9" s="270" t="n"/>
      <c r="L9" s="270" t="n"/>
      <c r="M9" s="273" t="n"/>
      <c r="N9" s="184">
        <f>IF(C1=1,"Detecção"," Detection")</f>
        <v/>
      </c>
      <c r="O9" s="184" t="inlineStr">
        <is>
          <t>Detection</t>
        </is>
      </c>
      <c r="P9" s="151" t="n"/>
      <c r="Q9" s="151" t="n"/>
      <c r="R9" s="151" t="n"/>
    </row>
    <row r="10" ht="15" customHeight="1" s="241">
      <c r="A10" s="263">
        <f>IF(C1=1,"Data Digitação da NF","Invoice Typing Date")</f>
        <v/>
      </c>
      <c r="D10" s="247" t="n"/>
      <c r="E10" s="274" t="n"/>
      <c r="F10" s="270" t="n"/>
      <c r="G10" s="271" t="n"/>
      <c r="H10" s="118">
        <f>IF(C1=1,"Quantidade Lote","Batch Qty.")</f>
        <v/>
      </c>
      <c r="I10" s="270" t="n"/>
      <c r="J10" s="272" t="n"/>
      <c r="K10" s="270" t="n"/>
      <c r="L10" s="270" t="n"/>
      <c r="M10" s="273" t="n"/>
      <c r="N10" s="151" t="n"/>
      <c r="O10" s="151" t="n"/>
      <c r="P10" s="151" t="n"/>
      <c r="Q10" s="151" t="n"/>
      <c r="R10" s="151" t="n"/>
    </row>
    <row r="11" ht="15" customHeight="1" s="241">
      <c r="A11" s="263">
        <f>IF(C1=1,"Quantidade Defeituosa","Defective Qty.")</f>
        <v/>
      </c>
      <c r="D11" s="247" t="n"/>
      <c r="E11" s="255" t="n"/>
      <c r="F11" s="256" t="n"/>
      <c r="G11" s="257" t="n"/>
      <c r="H11" s="121">
        <f>IF(C1=1,"Disposição","Usage Decision (UD)")</f>
        <v/>
      </c>
      <c r="I11" s="256" t="n"/>
      <c r="J11" s="275" t="n"/>
      <c r="K11" s="256" t="n"/>
      <c r="L11" s="256" t="n"/>
      <c r="M11" s="266" t="n"/>
      <c r="N11" s="151" t="n"/>
      <c r="O11" s="151" t="n"/>
      <c r="P11" s="151" t="n"/>
      <c r="Q11" s="151" t="n"/>
      <c r="R11" s="151" t="n"/>
    </row>
    <row r="12" ht="13.7" customHeight="1" s="241" thickBot="1">
      <c r="A12" s="276">
        <f>IF(C1=1,"Nota Fiscal Devolução","Return Invoice")</f>
        <v/>
      </c>
      <c r="B12" s="267" t="n"/>
      <c r="C12" s="267" t="n"/>
      <c r="D12" s="277" t="n"/>
      <c r="E12" s="278" t="n"/>
      <c r="F12" s="279" t="n"/>
      <c r="G12" s="280" t="n"/>
      <c r="H12" s="117">
        <f>IF(C1=1,"Quantidade Rejeitada","Rejected Qty.")</f>
        <v/>
      </c>
      <c r="I12" s="279" t="n"/>
      <c r="J12" s="281" t="n"/>
      <c r="K12" s="279" t="n"/>
      <c r="L12" s="279" t="n"/>
      <c r="M12" s="282" t="n"/>
      <c r="N12" s="151" t="n"/>
      <c r="O12" s="151" t="n"/>
      <c r="P12" s="151" t="n"/>
      <c r="Q12" s="151" t="n"/>
      <c r="R12" s="151" t="n"/>
    </row>
    <row r="13" ht="15" customHeight="1" s="241">
      <c r="A13" s="283">
        <f>IF(C1=1,"1. Descrição da Não Conformidade","1. Nonconformity Description")</f>
        <v/>
      </c>
      <c r="B13" s="284" t="n"/>
      <c r="C13" s="284" t="n"/>
      <c r="D13" s="284" t="n"/>
      <c r="E13" s="284" t="n"/>
      <c r="F13" s="284" t="n"/>
      <c r="G13" s="284" t="n"/>
      <c r="H13" s="284" t="n"/>
      <c r="I13" s="284" t="n"/>
      <c r="J13" s="284" t="n"/>
      <c r="K13" s="284" t="n"/>
      <c r="L13" s="284" t="n"/>
      <c r="M13" s="285" t="n"/>
      <c r="N13" s="151" t="n"/>
      <c r="O13" s="151" t="n"/>
      <c r="P13" s="151" t="n"/>
      <c r="Q13" s="151" t="n"/>
      <c r="R13" s="151" t="n"/>
    </row>
    <row r="14" ht="15" customHeight="1" s="241">
      <c r="A14" s="286">
        <f>IF(C1=1,"Característica","Features")</f>
        <v/>
      </c>
      <c r="B14" s="225" t="n"/>
      <c r="C14" s="225" t="n"/>
      <c r="D14" s="226" t="n"/>
      <c r="E14" s="106">
        <f>IF(C1=1,"Especificado","Specified")</f>
        <v/>
      </c>
      <c r="F14" s="225" t="n"/>
      <c r="G14" s="225" t="n"/>
      <c r="H14" s="226" t="n"/>
      <c r="I14" s="287">
        <f>IF(C1=1,"Verificado","Checked")</f>
        <v/>
      </c>
      <c r="J14" s="225" t="n"/>
      <c r="K14" s="225" t="n"/>
      <c r="L14" s="225" t="n"/>
      <c r="M14" s="252" t="n"/>
      <c r="N14" s="151" t="n"/>
      <c r="O14" s="151" t="n"/>
      <c r="P14" s="151" t="n"/>
      <c r="Q14" s="151" t="n"/>
      <c r="R14" s="151" t="n"/>
    </row>
    <row r="15" ht="15" customHeight="1" s="241">
      <c r="A15" s="288" t="n"/>
      <c r="B15" s="250" t="n"/>
      <c r="C15" s="250" t="n"/>
      <c r="D15" s="254" t="n"/>
      <c r="E15" s="138" t="n"/>
      <c r="F15" s="250" t="n"/>
      <c r="G15" s="250" t="n"/>
      <c r="H15" s="254" t="n"/>
      <c r="I15" s="289" t="n"/>
      <c r="J15" s="250" t="n"/>
      <c r="K15" s="250" t="n"/>
      <c r="L15" s="250" t="n"/>
      <c r="M15" s="251" t="n"/>
      <c r="N15" s="151" t="n"/>
      <c r="O15" s="151" t="n"/>
      <c r="P15" s="151" t="n"/>
      <c r="Q15" s="151" t="n"/>
      <c r="R15" s="151" t="n"/>
    </row>
    <row r="16" ht="15" customHeight="1" s="241">
      <c r="A16" s="246" t="n"/>
      <c r="D16" s="247" t="n"/>
      <c r="E16" s="248" t="n"/>
      <c r="H16" s="247" t="n"/>
      <c r="I16" s="248" t="n"/>
      <c r="M16" s="290" t="n"/>
      <c r="N16" s="151" t="n"/>
      <c r="O16" s="151" t="n"/>
      <c r="P16" s="151" t="n"/>
      <c r="Q16" s="151" t="n"/>
      <c r="R16" s="151" t="n"/>
    </row>
    <row r="17" ht="15" customHeight="1" s="241">
      <c r="A17" s="291" t="n"/>
      <c r="B17" s="292" t="n"/>
      <c r="C17" s="292" t="n"/>
      <c r="D17" s="293" t="n"/>
      <c r="E17" s="294" t="n"/>
      <c r="F17" s="292" t="n"/>
      <c r="G17" s="292" t="n"/>
      <c r="H17" s="293" t="n"/>
      <c r="I17" s="294" t="n"/>
      <c r="J17" s="292" t="n"/>
      <c r="K17" s="292" t="n"/>
      <c r="L17" s="292" t="n"/>
      <c r="M17" s="295" t="n"/>
      <c r="N17" s="151" t="n"/>
      <c r="O17" s="151" t="n"/>
      <c r="P17" s="151" t="n"/>
      <c r="Q17" s="151" t="n"/>
      <c r="R17" s="151" t="n"/>
    </row>
    <row r="18" ht="15" customHeight="1" s="241">
      <c r="A18" s="122">
        <f>IF(C1=1,"Obs:","Remarks:")</f>
        <v/>
      </c>
      <c r="B18" s="250" t="n"/>
      <c r="C18" s="296" t="n"/>
      <c r="D18" s="250" t="n"/>
      <c r="E18" s="250" t="n"/>
      <c r="F18" s="250" t="n"/>
      <c r="G18" s="250" t="n"/>
      <c r="H18" s="250" t="n"/>
      <c r="I18" s="250" t="n"/>
      <c r="J18" s="250" t="n"/>
      <c r="K18" s="250" t="n"/>
      <c r="L18" s="250" t="n"/>
      <c r="M18" s="251" t="n"/>
      <c r="N18" s="151" t="n"/>
      <c r="O18" s="151" t="n"/>
      <c r="P18" s="151" t="n"/>
      <c r="Q18" s="151" t="n"/>
      <c r="R18" s="151" t="n"/>
    </row>
    <row r="19" ht="15" customHeight="1" s="241">
      <c r="A19" s="246" t="n"/>
      <c r="M19" s="290" t="n"/>
      <c r="N19" s="151" t="n"/>
      <c r="O19" s="151" t="n"/>
      <c r="P19" s="151" t="n"/>
      <c r="Q19" s="151" t="n"/>
      <c r="R19" s="151" t="n"/>
    </row>
    <row r="20" ht="15" customHeight="1" s="241">
      <c r="A20" s="291" t="n"/>
      <c r="B20" s="292" t="n"/>
      <c r="C20" s="292" t="n"/>
      <c r="D20" s="292" t="n"/>
      <c r="E20" s="292" t="n"/>
      <c r="F20" s="292" t="n"/>
      <c r="G20" s="292" t="n"/>
      <c r="H20" s="292" t="n"/>
      <c r="I20" s="292" t="n"/>
      <c r="J20" s="292" t="n"/>
      <c r="K20" s="292" t="n"/>
      <c r="L20" s="292" t="n"/>
      <c r="M20" s="295" t="n"/>
      <c r="N20" s="151" t="n"/>
      <c r="O20" s="151" t="n"/>
      <c r="P20" s="151" t="n"/>
      <c r="Q20" s="151" t="n"/>
      <c r="R20" s="151" t="n"/>
    </row>
    <row r="21" ht="15" customHeight="1" s="241" thickBot="1">
      <c r="A21" s="209">
        <f>IF(C1=1,"Devolver até","Return to")</f>
        <v/>
      </c>
      <c r="B21" s="210" t="n"/>
      <c r="C21" s="210" t="n"/>
      <c r="D21" s="211" t="n"/>
      <c r="E21" s="212">
        <f>IF(C1=1,"Atenção para","Attention to")</f>
        <v/>
      </c>
      <c r="F21" s="210" t="n"/>
      <c r="G21" s="214" t="n"/>
      <c r="H21" s="297" t="n"/>
      <c r="I21" s="212" t="inlineStr">
        <is>
          <t>E-mail</t>
        </is>
      </c>
      <c r="J21" s="215" t="n"/>
      <c r="K21" s="298" t="n"/>
      <c r="L21" s="298" t="n"/>
      <c r="M21" s="299" t="n"/>
      <c r="N21" s="151" t="n"/>
      <c r="O21" s="151" t="n"/>
      <c r="P21" s="151" t="n"/>
      <c r="Q21" s="151" t="n"/>
      <c r="R21" s="151" t="n"/>
    </row>
    <row r="22" ht="15" customHeight="1" s="241">
      <c r="A22" s="300">
        <f>IF(C1=1,"USO DO FORNECEDOR","SUPPLIER USE")</f>
        <v/>
      </c>
      <c r="B22" s="44">
        <f>IF(C1=1,"2. Membros da equipe de análise","2. Analysis Team Members")</f>
        <v/>
      </c>
      <c r="C22" s="247" t="n"/>
      <c r="D22" s="90">
        <f>IF(C1=1,"Nome do Responsável","Responsible Person")</f>
        <v/>
      </c>
      <c r="E22" s="292" t="n"/>
      <c r="F22" s="292" t="n"/>
      <c r="G22" s="293" t="n"/>
      <c r="H22" s="90">
        <f>IF(C1=1,"Área de Atuação do Responsável","Actuation Area of the Responsible Person")</f>
        <v/>
      </c>
      <c r="I22" s="292" t="n"/>
      <c r="J22" s="292" t="n"/>
      <c r="K22" s="292" t="n"/>
      <c r="L22" s="292" t="n"/>
      <c r="M22" s="293" t="n"/>
      <c r="N22" s="151" t="n"/>
      <c r="O22" s="151" t="n"/>
      <c r="P22" s="151" t="n"/>
      <c r="Q22" s="151" t="n"/>
      <c r="R22" s="151" t="n"/>
    </row>
    <row r="23" ht="15" customHeight="1" s="241">
      <c r="A23" s="301" t="n"/>
      <c r="C23" s="247" t="n"/>
      <c r="D23" s="30" t="n"/>
      <c r="E23" s="225" t="n"/>
      <c r="F23" s="225" t="n"/>
      <c r="G23" s="226" t="n"/>
      <c r="H23" s="40" t="n"/>
      <c r="I23" s="225" t="n"/>
      <c r="J23" s="225" t="n"/>
      <c r="K23" s="225" t="n"/>
      <c r="L23" s="225" t="n"/>
      <c r="M23" s="252" t="n"/>
      <c r="N23" s="151" t="n"/>
      <c r="O23" s="151" t="n"/>
      <c r="P23" s="151" t="n"/>
      <c r="Q23" s="151" t="n"/>
      <c r="R23" s="151" t="n"/>
    </row>
    <row r="24" ht="15" customHeight="1" s="241">
      <c r="A24" s="301" t="n"/>
      <c r="C24" s="247" t="n"/>
      <c r="D24" s="131">
        <f>IF(C1=1,"Membros da Equipe","Team Members")</f>
        <v/>
      </c>
      <c r="E24" s="225" t="n"/>
      <c r="F24" s="225" t="n"/>
      <c r="G24" s="226" t="n"/>
      <c r="H24" s="131">
        <f>IF(C1=1,"Área de Atuação dos Membros da Equipe","Actuation Area of the Team Members")</f>
        <v/>
      </c>
      <c r="I24" s="225" t="n"/>
      <c r="J24" s="225" t="n"/>
      <c r="K24" s="225" t="n"/>
      <c r="L24" s="225" t="n"/>
      <c r="M24" s="226" t="n"/>
      <c r="N24" s="151" t="n"/>
      <c r="O24" s="151" t="n"/>
      <c r="P24" s="151" t="n"/>
      <c r="Q24" s="151" t="n"/>
      <c r="R24" s="151" t="n"/>
    </row>
    <row r="25" ht="15" customHeight="1" s="241">
      <c r="A25" s="301" t="n"/>
      <c r="C25" s="247" t="n"/>
      <c r="D25" s="60" t="n"/>
      <c r="E25" s="250" t="n"/>
      <c r="F25" s="250" t="n"/>
      <c r="G25" s="250" t="n"/>
      <c r="H25" s="302" t="n"/>
      <c r="I25" s="250" t="n"/>
      <c r="J25" s="250" t="n"/>
      <c r="K25" s="250" t="n"/>
      <c r="L25" s="250" t="n"/>
      <c r="M25" s="251" t="n"/>
      <c r="N25" s="151" t="n"/>
      <c r="O25" s="151" t="n"/>
      <c r="P25" s="151" t="n"/>
      <c r="Q25" s="151" t="n"/>
      <c r="R25" s="151" t="n"/>
    </row>
    <row r="26" ht="15" customHeight="1" s="241">
      <c r="A26" s="301" t="n"/>
      <c r="C26" s="247" t="n"/>
      <c r="D26" s="60" t="n"/>
      <c r="E26" s="250" t="n"/>
      <c r="F26" s="250" t="n"/>
      <c r="G26" s="250" t="n"/>
      <c r="H26" s="302" t="n"/>
      <c r="I26" s="250" t="n"/>
      <c r="J26" s="250" t="n"/>
      <c r="K26" s="250" t="n"/>
      <c r="L26" s="250" t="n"/>
      <c r="M26" s="251" t="n"/>
      <c r="N26" s="151" t="n"/>
      <c r="O26" s="151" t="n"/>
      <c r="P26" s="151" t="n"/>
      <c r="Q26" s="151" t="n"/>
      <c r="R26" s="151" t="n"/>
    </row>
    <row r="27" ht="15" customHeight="1" s="241">
      <c r="A27" s="301" t="n"/>
      <c r="C27" s="247" t="n"/>
      <c r="D27" s="60" t="n"/>
      <c r="E27" s="250" t="n"/>
      <c r="F27" s="250" t="n"/>
      <c r="G27" s="250" t="n"/>
      <c r="H27" s="302" t="n"/>
      <c r="I27" s="250" t="n"/>
      <c r="J27" s="250" t="n"/>
      <c r="K27" s="250" t="n"/>
      <c r="L27" s="250" t="n"/>
      <c r="M27" s="251" t="n"/>
      <c r="N27" s="151" t="n"/>
      <c r="O27" s="151" t="n"/>
      <c r="P27" s="151" t="n"/>
      <c r="Q27" s="151" t="n"/>
      <c r="R27" s="151" t="n"/>
    </row>
    <row r="28" ht="15" customHeight="1" s="241">
      <c r="A28" s="301" t="n"/>
      <c r="C28" s="247" t="n"/>
      <c r="D28" s="60" t="n"/>
      <c r="E28" s="250" t="n"/>
      <c r="F28" s="250" t="n"/>
      <c r="G28" s="250" t="n"/>
      <c r="H28" s="302" t="n"/>
      <c r="I28" s="250" t="n"/>
      <c r="J28" s="250" t="n"/>
      <c r="K28" s="250" t="n"/>
      <c r="L28" s="250" t="n"/>
      <c r="M28" s="251" t="n"/>
      <c r="N28" s="151" t="n"/>
      <c r="O28" s="151" t="n"/>
      <c r="P28" s="151" t="n"/>
      <c r="Q28" s="151" t="n"/>
      <c r="R28" s="151" t="n"/>
    </row>
    <row r="29" ht="15" customHeight="1" s="241" thickBot="1">
      <c r="A29" s="301" t="n"/>
      <c r="B29" s="267" t="n"/>
      <c r="C29" s="277" t="n"/>
      <c r="D29" s="218" t="n"/>
      <c r="E29" s="298" t="n"/>
      <c r="F29" s="298" t="n"/>
      <c r="G29" s="298" t="n"/>
      <c r="H29" s="303" t="n"/>
      <c r="I29" s="298" t="n"/>
      <c r="J29" s="298" t="n"/>
      <c r="K29" s="298" t="n"/>
      <c r="L29" s="298" t="n"/>
      <c r="M29" s="299" t="n"/>
      <c r="N29" s="151" t="n"/>
      <c r="O29" s="151" t="n"/>
      <c r="P29" s="151" t="n"/>
      <c r="Q29" s="151" t="n"/>
      <c r="R29" s="151" t="n"/>
    </row>
    <row r="30" ht="15" customHeight="1" s="241">
      <c r="A30" s="301" t="n"/>
      <c r="B30" s="304">
        <f>IF(C1=1,"3. Ação de contenção","3. Containment Action")</f>
        <v/>
      </c>
      <c r="C30" s="245" t="n"/>
      <c r="D30" s="305">
        <f>IF(C1=1,"Ações realizadas evitando o envio de novos lotes não-conformes (como por exemplo informar quantia de estoque disponível, se existe material em trânsito,...)","Activities held by avoiding sending new non-conforming lots (eg informing amount of inventory available, if there is material in transit ...)")</f>
        <v/>
      </c>
      <c r="E30" s="245" t="n"/>
      <c r="F30" s="245" t="n"/>
      <c r="G30" s="245" t="n"/>
      <c r="H30" s="245" t="n"/>
      <c r="I30" s="245" t="n"/>
      <c r="J30" s="245" t="n"/>
      <c r="K30" s="245" t="n"/>
      <c r="L30" s="245" t="n"/>
      <c r="M30" s="306" t="n"/>
      <c r="N30" s="151" t="n"/>
      <c r="O30" s="151" t="n"/>
      <c r="P30" s="151" t="n"/>
      <c r="Q30" s="151" t="n"/>
      <c r="R30" s="151" t="n"/>
    </row>
    <row r="31" ht="12.75" customHeight="1" s="241">
      <c r="A31" s="301" t="n"/>
      <c r="D31" s="248" t="n"/>
      <c r="M31" s="290" t="n"/>
      <c r="N31" s="151" t="n"/>
      <c r="O31" s="151" t="n"/>
      <c r="P31" s="151" t="n"/>
      <c r="Q31" s="151" t="n"/>
      <c r="R31" s="151" t="n"/>
    </row>
    <row r="32" hidden="1" ht="12.75" customHeight="1" s="241">
      <c r="A32" s="301" t="n"/>
      <c r="D32" s="294" t="n"/>
      <c r="E32" s="292" t="n"/>
      <c r="F32" s="292" t="n"/>
      <c r="G32" s="292" t="n"/>
      <c r="H32" s="292" t="n"/>
      <c r="I32" s="292" t="n"/>
      <c r="J32" s="292" t="n"/>
      <c r="K32" s="292" t="n"/>
      <c r="L32" s="292" t="n"/>
      <c r="M32" s="295" t="n"/>
      <c r="N32" s="151" t="n"/>
      <c r="O32" s="151" t="n"/>
      <c r="P32" s="151" t="n"/>
      <c r="Q32" s="151" t="n"/>
      <c r="R32" s="151" t="n"/>
    </row>
    <row r="33" ht="20.25" customHeight="1" s="241">
      <c r="A33" s="301" t="n"/>
      <c r="D33" s="138">
        <f>IF(C1=1,"Quais ações foram tomadas de imediato?","What actions were taken immediately?")</f>
        <v/>
      </c>
      <c r="E33" s="225" t="n"/>
      <c r="F33" s="225" t="n"/>
      <c r="G33" s="225" t="n"/>
      <c r="H33" s="225" t="n"/>
      <c r="I33" s="226" t="n"/>
      <c r="J33" s="145">
        <f>IF(C1=1,"Data do início da contenção:","Containment start date:")</f>
        <v/>
      </c>
      <c r="K33" s="225" t="n"/>
      <c r="L33" s="225" t="n"/>
      <c r="M33" s="252" t="n"/>
      <c r="N33" s="151" t="n"/>
      <c r="O33" s="151" t="n"/>
      <c r="P33" s="151" t="n"/>
      <c r="Q33" s="151" t="n"/>
      <c r="R33" s="151" t="n"/>
    </row>
    <row r="34" ht="15" customHeight="1" s="241">
      <c r="A34" s="301" t="n"/>
      <c r="D34" s="9">
        <f>IF(C1=1,"Área","Area")</f>
        <v/>
      </c>
      <c r="E34" s="21">
        <f>IF(C1=1,"Quantidade","Amount")</f>
        <v/>
      </c>
      <c r="F34" s="225" t="n"/>
      <c r="G34" s="106">
        <f>IF(C1=1,"Plano de ação","Actionplan")</f>
        <v/>
      </c>
      <c r="H34" s="225" t="n"/>
      <c r="I34" s="226" t="n"/>
      <c r="J34" s="21">
        <f>IF(C1=1,"Responsável","Responsible")</f>
        <v/>
      </c>
      <c r="K34" s="225" t="n"/>
      <c r="L34" s="225" t="n"/>
      <c r="M34" s="12">
        <f>IF(C1=1,"Data","Date")</f>
        <v/>
      </c>
      <c r="N34" s="151" t="n"/>
      <c r="O34" s="151" t="n"/>
      <c r="P34" s="151" t="n"/>
      <c r="Q34" s="151" t="n"/>
      <c r="R34" s="151" t="n"/>
    </row>
    <row r="35" ht="15" customHeight="1" s="241">
      <c r="A35" s="301" t="n"/>
      <c r="D35" s="106">
        <f>IF(C1=1,"Cliente Final","Client/Customer")</f>
        <v/>
      </c>
      <c r="E35" s="26" t="n"/>
      <c r="F35" s="226" t="n"/>
      <c r="G35" s="30" t="n"/>
      <c r="H35" s="225" t="n"/>
      <c r="I35" s="226" t="n"/>
      <c r="J35" s="24" t="n"/>
      <c r="K35" s="225" t="n"/>
      <c r="L35" s="225" t="n"/>
      <c r="M35" s="13" t="n"/>
      <c r="N35" s="151" t="n"/>
      <c r="O35" s="151" t="n"/>
      <c r="P35" s="151" t="n"/>
      <c r="Q35" s="151" t="n"/>
      <c r="R35" s="151" t="n"/>
    </row>
    <row r="36" ht="15" customHeight="1" s="241">
      <c r="A36" s="301" t="n"/>
      <c r="D36" s="307" t="n"/>
      <c r="E36" s="26" t="n"/>
      <c r="F36" s="226" t="n"/>
      <c r="G36" s="30" t="n"/>
      <c r="H36" s="225" t="n"/>
      <c r="I36" s="226" t="n"/>
      <c r="J36" s="30" t="n"/>
      <c r="K36" s="225" t="n"/>
      <c r="L36" s="226" t="n"/>
      <c r="M36" s="13" t="n"/>
      <c r="N36" s="151" t="n"/>
      <c r="O36" s="151" t="n"/>
      <c r="P36" s="151" t="n"/>
      <c r="Q36" s="151" t="n"/>
      <c r="R36" s="151" t="n"/>
    </row>
    <row r="37" ht="15" customHeight="1" s="241">
      <c r="A37" s="301" t="n"/>
      <c r="D37" s="106" t="inlineStr">
        <is>
          <t>WEG</t>
        </is>
      </c>
      <c r="E37" s="26" t="n"/>
      <c r="F37" s="226" t="n"/>
      <c r="G37" s="30" t="n"/>
      <c r="H37" s="225" t="n"/>
      <c r="I37" s="226" t="n"/>
      <c r="J37" s="30" t="n"/>
      <c r="K37" s="225" t="n"/>
      <c r="L37" s="226" t="n"/>
      <c r="M37" s="13" t="n"/>
      <c r="N37" s="151" t="n"/>
      <c r="O37" s="151" t="n"/>
      <c r="P37" s="151" t="n"/>
      <c r="Q37" s="151" t="n"/>
      <c r="R37" s="151" t="n"/>
    </row>
    <row r="38" ht="15" customHeight="1" s="241">
      <c r="A38" s="301" t="n"/>
      <c r="D38" s="307" t="n"/>
      <c r="E38" s="26" t="n"/>
      <c r="F38" s="226" t="n"/>
      <c r="G38" s="30" t="n"/>
      <c r="H38" s="225" t="n"/>
      <c r="I38" s="226" t="n"/>
      <c r="J38" s="30" t="n"/>
      <c r="K38" s="225" t="n"/>
      <c r="L38" s="226" t="n"/>
      <c r="M38" s="13" t="n"/>
      <c r="N38" s="151" t="n"/>
      <c r="O38" s="151" t="n"/>
      <c r="P38" s="151" t="n"/>
      <c r="Q38" s="151" t="n"/>
      <c r="R38" s="151" t="n"/>
    </row>
    <row r="39" ht="15" customHeight="1" s="241">
      <c r="A39" s="301" t="n"/>
      <c r="D39" s="106">
        <f>IF(C1=1,"Fornecedor","Supplier")</f>
        <v/>
      </c>
      <c r="E39" s="26" t="n"/>
      <c r="F39" s="226" t="n"/>
      <c r="G39" s="308" t="n"/>
      <c r="H39" s="292" t="n"/>
      <c r="I39" s="293" t="n"/>
      <c r="J39" s="31" t="n"/>
      <c r="K39" s="292" t="n"/>
      <c r="L39" s="292" t="n"/>
      <c r="M39" s="14" t="n"/>
      <c r="N39" s="151" t="n"/>
      <c r="O39" s="151" t="n"/>
      <c r="P39" s="151" t="n"/>
      <c r="Q39" s="151" t="n"/>
      <c r="R39" s="151" t="n"/>
    </row>
    <row r="40" ht="15" customHeight="1" s="241" thickBot="1">
      <c r="A40" s="301" t="n"/>
      <c r="B40" s="267" t="n"/>
      <c r="C40" s="267" t="n"/>
      <c r="D40" s="307" t="n"/>
      <c r="E40" s="29" t="n"/>
      <c r="F40" s="297" t="n"/>
      <c r="G40" s="66" t="n"/>
      <c r="H40" s="298" t="n"/>
      <c r="I40" s="297" t="n"/>
      <c r="J40" s="27" t="n"/>
      <c r="K40" s="298" t="n"/>
      <c r="L40" s="298" t="n"/>
      <c r="M40" s="15" t="n"/>
      <c r="N40" s="151" t="n"/>
      <c r="O40" s="151" t="n"/>
      <c r="P40" s="151" t="n"/>
      <c r="Q40" s="151" t="n"/>
      <c r="R40" s="151" t="n"/>
    </row>
    <row r="41" ht="15" customHeight="1" s="241">
      <c r="A41" s="301" t="n"/>
      <c r="B41" s="309">
        <f>IF(C1=1,"4. Estudo de causa do defeito (Técnica dos Porquês)","4. Defect Study Case (Ishikawa, Brainstorming...)")</f>
        <v/>
      </c>
      <c r="C41" s="244" t="n"/>
      <c r="D41" s="310">
        <f>IF(C1=1,"É obrigatório conter análise sobre a causa do problema.","Analysis of the cause of the problem is mandatory.")</f>
        <v/>
      </c>
      <c r="M41" s="290" t="n"/>
      <c r="N41" s="151" t="n"/>
      <c r="O41" s="151" t="n"/>
      <c r="P41" s="151" t="n"/>
      <c r="Q41" s="151" t="n"/>
      <c r="R41" s="151" t="n"/>
    </row>
    <row r="42" ht="15" customHeight="1" s="241">
      <c r="A42" s="301" t="n"/>
      <c r="C42" s="247" t="n"/>
      <c r="D42" s="294" t="n"/>
      <c r="E42" s="292" t="n"/>
      <c r="F42" s="292" t="n"/>
      <c r="G42" s="292" t="n"/>
      <c r="H42" s="292" t="n"/>
      <c r="I42" s="292" t="n"/>
      <c r="J42" s="292" t="n"/>
      <c r="K42" s="292" t="n"/>
      <c r="L42" s="292" t="n"/>
      <c r="M42" s="295" t="n"/>
      <c r="N42" s="151" t="n"/>
      <c r="O42" s="151" t="n"/>
      <c r="P42" s="151" t="n"/>
      <c r="Q42" s="151" t="n"/>
      <c r="R42" s="151" t="n"/>
    </row>
    <row r="43" ht="15" customHeight="1" s="241">
      <c r="A43" s="301" t="n"/>
      <c r="C43" s="247" t="n"/>
      <c r="D43" s="5" t="n"/>
      <c r="E43" s="85">
        <f>IF(C1=1,"Portanto","Therefore")</f>
        <v/>
      </c>
      <c r="G43" s="85">
        <f>E43</f>
        <v/>
      </c>
      <c r="I43" s="85">
        <f>G43</f>
        <v/>
      </c>
      <c r="K43" s="85">
        <f>I43</f>
        <v/>
      </c>
      <c r="M43" s="86">
        <f>K43</f>
        <v/>
      </c>
      <c r="N43" s="151" t="n"/>
      <c r="O43" s="151" t="n"/>
      <c r="P43" s="151" t="n"/>
      <c r="Q43" s="151" t="n"/>
      <c r="R43" s="151" t="n"/>
    </row>
    <row r="44" ht="15" customHeight="1" s="241">
      <c r="A44" s="301" t="n"/>
      <c r="C44" s="247" t="n"/>
      <c r="D44" s="62">
        <f>IF(C1=1,"Análise sobre a causa do problema  ( Ocorrência)","Analysis of the cause of the problem (Occurrence)")</f>
        <v/>
      </c>
      <c r="E44" s="221" t="n"/>
      <c r="F44" s="311" t="n"/>
      <c r="G44" s="99" t="n"/>
      <c r="H44" s="311" t="n"/>
      <c r="I44" s="99" t="n"/>
      <c r="J44" s="311" t="n"/>
      <c r="K44" s="99" t="n"/>
      <c r="L44" s="311" t="n"/>
      <c r="M44" s="101" t="n"/>
      <c r="N44" s="151" t="n"/>
      <c r="O44" s="151" t="n"/>
      <c r="P44" s="151" t="n"/>
      <c r="Q44" s="151" t="n"/>
      <c r="R44" s="151" t="n"/>
    </row>
    <row r="45" ht="43.5" customHeight="1" s="241">
      <c r="A45" s="301" t="n"/>
      <c r="C45" s="247" t="n"/>
      <c r="D45" s="248" t="n"/>
      <c r="E45" s="312" t="n"/>
      <c r="F45" s="313" t="n"/>
      <c r="G45" s="312" t="n"/>
      <c r="H45" s="313" t="n"/>
      <c r="I45" s="312" t="n"/>
      <c r="J45" s="313" t="n"/>
      <c r="K45" s="312" t="n"/>
      <c r="L45" s="313" t="n"/>
      <c r="M45" s="314" t="n"/>
      <c r="N45" s="7" t="n"/>
      <c r="O45" s="151" t="n"/>
      <c r="P45" s="151" t="n"/>
      <c r="Q45" s="151" t="n"/>
      <c r="R45" s="151" t="n"/>
    </row>
    <row r="46" ht="15" customHeight="1" s="241">
      <c r="A46" s="301" t="n"/>
      <c r="C46" s="247" t="n"/>
      <c r="D46" s="5" t="n"/>
      <c r="E46" s="85">
        <f>IF(C1=1,"PQ","Because")</f>
        <v/>
      </c>
      <c r="G46" s="85">
        <f>E46</f>
        <v/>
      </c>
      <c r="I46" s="85">
        <f>G46</f>
        <v/>
      </c>
      <c r="K46" s="85">
        <f>I46</f>
        <v/>
      </c>
      <c r="M46" s="86">
        <f>K46</f>
        <v/>
      </c>
      <c r="N46" s="151" t="n"/>
      <c r="O46" s="151" t="n"/>
      <c r="P46" s="151" t="n"/>
      <c r="Q46" s="151" t="n"/>
      <c r="R46" s="151" t="n"/>
    </row>
    <row r="47" ht="15" customHeight="1" s="241">
      <c r="A47" s="301" t="n"/>
      <c r="C47" s="247" t="n"/>
      <c r="D47" s="5" t="n"/>
      <c r="E47" s="6" t="n"/>
      <c r="F47" s="6" t="n"/>
      <c r="G47" s="6" t="n"/>
      <c r="H47" s="6" t="n"/>
      <c r="I47" s="6" t="n"/>
      <c r="J47" s="6" t="n"/>
      <c r="K47" s="6" t="n"/>
      <c r="L47" s="6" t="n"/>
      <c r="M47" s="17" t="n"/>
      <c r="N47" s="151" t="n"/>
      <c r="O47" s="151" t="n"/>
      <c r="P47" s="151" t="n"/>
      <c r="Q47" s="151" t="n"/>
      <c r="R47" s="151" t="n"/>
    </row>
    <row r="48" ht="15" customHeight="1" s="241">
      <c r="A48" s="301" t="n"/>
      <c r="C48" s="247" t="n"/>
      <c r="D48" s="5" t="n"/>
      <c r="E48" s="85">
        <f>E43</f>
        <v/>
      </c>
      <c r="G48" s="85">
        <f>E48</f>
        <v/>
      </c>
      <c r="I48" s="85">
        <f>G48</f>
        <v/>
      </c>
      <c r="K48" s="85">
        <f>I48</f>
        <v/>
      </c>
      <c r="M48" s="86">
        <f>K48</f>
        <v/>
      </c>
      <c r="N48" s="151" t="n"/>
      <c r="O48" s="151" t="n"/>
      <c r="P48" s="151" t="n"/>
      <c r="Q48" s="151" t="n"/>
      <c r="R48" s="151" t="n"/>
    </row>
    <row r="49" ht="15" customHeight="1" s="241">
      <c r="A49" s="301" t="n"/>
      <c r="C49" s="247" t="n"/>
      <c r="D49" s="98">
        <f>IF(C1=1,"Análise sobre o motivo pelo qual não foi detectado           ( Detecção)","
Analysis of why it was not detected (Detection)")</f>
        <v/>
      </c>
      <c r="E49" s="99" t="n"/>
      <c r="F49" s="311" t="n"/>
      <c r="G49" s="99" t="n"/>
      <c r="H49" s="311" t="n"/>
      <c r="I49" s="99" t="n"/>
      <c r="J49" s="311" t="n"/>
      <c r="K49" s="99" t="n"/>
      <c r="L49" s="311" t="n"/>
      <c r="M49" s="101" t="n"/>
      <c r="N49" s="7" t="n"/>
      <c r="O49" s="151" t="n"/>
      <c r="P49" s="151" t="n"/>
      <c r="Q49" s="151" t="n"/>
      <c r="R49" s="151" t="n"/>
    </row>
    <row r="50" ht="15" customHeight="1" s="241">
      <c r="A50" s="301" t="n"/>
      <c r="C50" s="247" t="n"/>
      <c r="D50" s="248" t="n"/>
      <c r="E50" s="315" t="n"/>
      <c r="F50" s="316" t="n"/>
      <c r="G50" s="315" t="n"/>
      <c r="H50" s="316" t="n"/>
      <c r="I50" s="315" t="n"/>
      <c r="J50" s="316" t="n"/>
      <c r="K50" s="315" t="n"/>
      <c r="L50" s="316" t="n"/>
      <c r="M50" s="317" t="n"/>
      <c r="N50" s="7" t="n"/>
      <c r="O50" s="151" t="n"/>
      <c r="P50" s="151" t="n"/>
      <c r="Q50" s="151" t="n"/>
      <c r="R50" s="151" t="n"/>
    </row>
    <row r="51" ht="15" customHeight="1" s="241">
      <c r="A51" s="301" t="n"/>
      <c r="C51" s="247" t="n"/>
      <c r="D51" s="248" t="n"/>
      <c r="E51" s="315" t="n"/>
      <c r="F51" s="316" t="n"/>
      <c r="G51" s="315" t="n"/>
      <c r="H51" s="316" t="n"/>
      <c r="I51" s="315" t="n"/>
      <c r="J51" s="316" t="n"/>
      <c r="K51" s="315" t="n"/>
      <c r="L51" s="316" t="n"/>
      <c r="M51" s="317" t="n"/>
      <c r="N51" s="7" t="n"/>
      <c r="O51" s="151" t="n"/>
      <c r="P51" s="151" t="n"/>
      <c r="Q51" s="151" t="n"/>
      <c r="R51" s="151" t="n"/>
    </row>
    <row r="52" ht="15" customHeight="1" s="241">
      <c r="A52" s="301" t="n"/>
      <c r="C52" s="247" t="n"/>
      <c r="D52" s="248" t="n"/>
      <c r="E52" s="312" t="n"/>
      <c r="F52" s="313" t="n"/>
      <c r="G52" s="312" t="n"/>
      <c r="H52" s="313" t="n"/>
      <c r="I52" s="312" t="n"/>
      <c r="J52" s="313" t="n"/>
      <c r="K52" s="312" t="n"/>
      <c r="L52" s="313" t="n"/>
      <c r="M52" s="314" t="n"/>
      <c r="N52" s="7" t="n"/>
      <c r="O52" s="151" t="n"/>
      <c r="P52" s="151" t="n"/>
      <c r="Q52" s="151" t="n"/>
      <c r="R52" s="151" t="n"/>
    </row>
    <row r="53" ht="15" customHeight="1" s="241" thickBot="1">
      <c r="A53" s="301" t="n"/>
      <c r="B53" s="267" t="n"/>
      <c r="C53" s="277" t="n"/>
      <c r="D53" s="318" t="n"/>
      <c r="E53" s="107">
        <f>E46</f>
        <v/>
      </c>
      <c r="F53" s="267" t="n"/>
      <c r="G53" s="107">
        <f>E53</f>
        <v/>
      </c>
      <c r="H53" s="267" t="n"/>
      <c r="I53" s="107">
        <f>G53</f>
        <v/>
      </c>
      <c r="J53" s="267" t="n"/>
      <c r="K53" s="107">
        <f>I53</f>
        <v/>
      </c>
      <c r="L53" s="267" t="n"/>
      <c r="M53" s="233">
        <f>K53</f>
        <v/>
      </c>
      <c r="N53" s="7" t="n"/>
      <c r="O53" s="151" t="n"/>
      <c r="P53" s="151" t="n"/>
      <c r="Q53" s="151" t="n"/>
      <c r="R53" s="151" t="n"/>
    </row>
    <row r="54" ht="49.15" customHeight="1" s="241">
      <c r="A54" s="301" t="n"/>
      <c r="B54" s="309">
        <f>IF(C1=1,"5. Ação corretiva proposta","5. Proposed Corrective Action")</f>
        <v/>
      </c>
      <c r="C54" s="244" t="n"/>
      <c r="D54" s="305">
        <f>IF(C1=1,"O plano deve incluir ações que se remetem à(s) causa(s) raiz(es) apontadas ao final do estudo da não conformidade. Treinar e orientar colaboradores não serão aceitos como única ação. Favor anexar evidências das ações já concluídas.","The plan should include actions that refer the root (s) cause (s) identified at the study of non-compliance. To and mentor employees will not be accepted as a single action. Please attach evidence of the actions already completed.")</f>
        <v/>
      </c>
      <c r="E54" s="284" t="n"/>
      <c r="F54" s="284" t="n"/>
      <c r="G54" s="284" t="n"/>
      <c r="H54" s="284" t="n"/>
      <c r="I54" s="284" t="n"/>
      <c r="J54" s="284" t="n"/>
      <c r="K54" s="284" t="n"/>
      <c r="L54" s="284" t="n"/>
      <c r="M54" s="285" t="n"/>
      <c r="N54" s="151" t="n"/>
      <c r="O54" s="151" t="n"/>
      <c r="P54" s="151" t="n"/>
      <c r="Q54" s="151" t="n"/>
      <c r="R54" s="151" t="n"/>
    </row>
    <row r="55" ht="25.5" customHeight="1" s="241">
      <c r="A55" s="301" t="n"/>
      <c r="C55" s="247" t="n"/>
      <c r="D55" s="106">
        <f>IF(C1=1,"Ação (Ocorrência
/Detecção)","Action (Occurrence
/Detection)")</f>
        <v/>
      </c>
      <c r="E55" s="226" t="n"/>
      <c r="F55" s="23">
        <f>G34</f>
        <v/>
      </c>
      <c r="G55" s="225" t="n"/>
      <c r="H55" s="225" t="n"/>
      <c r="I55" s="226" t="n"/>
      <c r="J55" s="106">
        <f>J34</f>
        <v/>
      </c>
      <c r="K55" s="225" t="n"/>
      <c r="L55" s="226" t="n"/>
      <c r="M55" s="89">
        <f>M34</f>
        <v/>
      </c>
      <c r="N55" s="151" t="n"/>
      <c r="O55" s="151" t="n"/>
      <c r="P55" s="151" t="n"/>
      <c r="Q55" s="151" t="n"/>
      <c r="R55" s="151" t="n"/>
    </row>
    <row r="56" ht="15" customHeight="1" s="241">
      <c r="A56" s="301" t="n"/>
      <c r="C56" s="247" t="n"/>
      <c r="D56" s="319" t="n"/>
      <c r="E56" s="226" t="n"/>
      <c r="F56" s="30" t="n"/>
      <c r="G56" s="225" t="n"/>
      <c r="H56" s="225" t="n"/>
      <c r="I56" s="226" t="n"/>
      <c r="J56" s="30" t="n"/>
      <c r="K56" s="225" t="n"/>
      <c r="L56" s="226" t="n"/>
      <c r="M56" s="19" t="n"/>
      <c r="N56" s="151" t="n"/>
      <c r="O56" s="151" t="n"/>
      <c r="P56" s="151" t="n"/>
      <c r="Q56" s="151" t="n"/>
      <c r="R56" s="151" t="n"/>
    </row>
    <row r="57" ht="15" customHeight="1" s="241">
      <c r="A57" s="301" t="n"/>
      <c r="C57" s="247" t="n"/>
      <c r="D57" s="319" t="n"/>
      <c r="E57" s="226" t="n"/>
      <c r="F57" s="30" t="n"/>
      <c r="G57" s="225" t="n"/>
      <c r="H57" s="225" t="n"/>
      <c r="I57" s="226" t="n"/>
      <c r="J57" s="30" t="n"/>
      <c r="K57" s="225" t="n"/>
      <c r="L57" s="226" t="n"/>
      <c r="M57" s="19" t="n"/>
      <c r="N57" s="151" t="n"/>
      <c r="O57" s="151" t="n"/>
      <c r="P57" s="151" t="n"/>
      <c r="Q57" s="151" t="n"/>
      <c r="R57" s="151" t="n"/>
    </row>
    <row r="58" ht="15" customHeight="1" s="241">
      <c r="A58" s="301" t="n"/>
      <c r="C58" s="247" t="n"/>
      <c r="D58" s="319" t="n"/>
      <c r="E58" s="226" t="n"/>
      <c r="F58" s="30" t="n"/>
      <c r="G58" s="225" t="n"/>
      <c r="H58" s="225" t="n"/>
      <c r="I58" s="226" t="n"/>
      <c r="J58" s="30" t="n"/>
      <c r="K58" s="225" t="n"/>
      <c r="L58" s="226" t="n"/>
      <c r="M58" s="19" t="n"/>
      <c r="N58" s="151" t="n"/>
      <c r="O58" s="151" t="n"/>
      <c r="P58" s="151" t="n"/>
      <c r="Q58" s="151" t="n"/>
      <c r="R58" s="151" t="n"/>
    </row>
    <row r="59" ht="15" customHeight="1" s="241">
      <c r="A59" s="301" t="n"/>
      <c r="C59" s="247" t="n"/>
      <c r="D59" s="319" t="n"/>
      <c r="E59" s="226" t="n"/>
      <c r="F59" s="30" t="n"/>
      <c r="G59" s="225" t="n"/>
      <c r="H59" s="225" t="n"/>
      <c r="I59" s="226" t="n"/>
      <c r="J59" s="30" t="n"/>
      <c r="K59" s="225" t="n"/>
      <c r="L59" s="226" t="n"/>
      <c r="M59" s="19" t="n"/>
      <c r="N59" s="151" t="n"/>
      <c r="O59" s="151" t="n"/>
      <c r="P59" s="151" t="n"/>
      <c r="Q59" s="151" t="n"/>
      <c r="R59" s="151" t="n"/>
    </row>
    <row r="60" ht="15" customHeight="1" s="241" thickBot="1">
      <c r="A60" s="320" t="n"/>
      <c r="B60" s="267" t="n"/>
      <c r="C60" s="277" t="n"/>
      <c r="D60" s="319" t="n"/>
      <c r="E60" s="226" t="n"/>
      <c r="F60" s="66" t="n"/>
      <c r="G60" s="298" t="n"/>
      <c r="H60" s="298" t="n"/>
      <c r="I60" s="297" t="n"/>
      <c r="J60" s="66" t="n"/>
      <c r="K60" s="298" t="n"/>
      <c r="L60" s="297" t="n"/>
      <c r="M60" s="20" t="n"/>
      <c r="N60" s="151" t="n"/>
      <c r="O60" s="151" t="n"/>
      <c r="P60" s="151" t="n"/>
      <c r="Q60" s="151" t="n"/>
      <c r="R60" s="151" t="n"/>
    </row>
    <row r="61" ht="12.75" customHeight="1" s="241">
      <c r="A61" s="300">
        <f>IF(C1=1,"USO DO FORNECEDOR","SUPPLIER USE")</f>
        <v/>
      </c>
      <c r="B61" s="321">
        <f>IF(C1=1,"6. Verificação da eficácia da ação corretiva"," 6.  Verification or the Effectiveness of Corrective Action")</f>
        <v/>
      </c>
      <c r="C61" s="244" t="n"/>
      <c r="D61" s="305">
        <f>IF(C1=1,"O problema foi resolvido? Como? Verificação através de evidências
estatísticas, ensaios em laboratório e/ou testes na fábrica."," Was the problem solved?  How? Check through the statistic evidences ,laboratory tests and/or factory tests.")</f>
        <v/>
      </c>
      <c r="E61" s="245" t="n"/>
      <c r="F61" s="245" t="n"/>
      <c r="G61" s="245" t="n"/>
      <c r="H61" s="245" t="n"/>
      <c r="I61" s="245" t="n"/>
      <c r="J61" s="245" t="n"/>
      <c r="K61" s="245" t="n"/>
      <c r="L61" s="245" t="n"/>
      <c r="M61" s="306" t="n"/>
      <c r="N61" s="151" t="n"/>
      <c r="O61" s="151" t="n"/>
      <c r="P61" s="151" t="n"/>
      <c r="Q61" s="151" t="n"/>
      <c r="R61" s="151" t="n"/>
    </row>
    <row r="62">
      <c r="A62" s="301" t="n"/>
      <c r="B62" s="246" t="n"/>
      <c r="C62" s="247" t="n"/>
      <c r="D62" s="294" t="n"/>
      <c r="E62" s="292" t="n"/>
      <c r="F62" s="292" t="n"/>
      <c r="G62" s="292" t="n"/>
      <c r="H62" s="292" t="n"/>
      <c r="I62" s="292" t="n"/>
      <c r="J62" s="292" t="n"/>
      <c r="K62" s="292" t="n"/>
      <c r="L62" s="292" t="n"/>
      <c r="M62" s="295" t="n"/>
      <c r="N62" s="151" t="n"/>
      <c r="O62" s="151" t="n"/>
      <c r="P62" s="151" t="n"/>
      <c r="Q62" s="151" t="n"/>
      <c r="R62" s="151" t="n"/>
    </row>
    <row r="63" ht="9.949999999999999" customHeight="1" s="241">
      <c r="A63" s="301" t="n"/>
      <c r="B63" s="246" t="n"/>
      <c r="C63" s="247" t="n"/>
      <c r="D63" s="322" t="n"/>
      <c r="E63" s="250" t="n"/>
      <c r="F63" s="250" t="n"/>
      <c r="G63" s="250" t="n"/>
      <c r="H63" s="250" t="n"/>
      <c r="I63" s="250" t="n"/>
      <c r="J63" s="250" t="n"/>
      <c r="K63" s="250" t="n"/>
      <c r="L63" s="250" t="n"/>
      <c r="M63" s="251" t="n"/>
      <c r="N63" s="151" t="n"/>
      <c r="O63" s="151" t="n"/>
      <c r="P63" s="151" t="n"/>
      <c r="Q63" s="151" t="n"/>
      <c r="R63" s="151" t="n"/>
    </row>
    <row r="64" ht="9.949999999999999" customHeight="1" s="241">
      <c r="A64" s="301" t="n"/>
      <c r="B64" s="246" t="n"/>
      <c r="C64" s="247" t="n"/>
      <c r="D64" s="248" t="n"/>
      <c r="M64" s="290" t="n"/>
      <c r="N64" s="151" t="n"/>
      <c r="O64" s="151" t="n"/>
      <c r="P64" s="151" t="n"/>
      <c r="Q64" s="151" t="n"/>
      <c r="R64" s="151" t="n"/>
    </row>
    <row r="65" ht="9.949999999999999" customHeight="1" s="241">
      <c r="A65" s="301" t="n"/>
      <c r="B65" s="246" t="n"/>
      <c r="C65" s="247" t="n"/>
      <c r="D65" s="248" t="n"/>
      <c r="M65" s="290" t="n"/>
      <c r="N65" s="151" t="n"/>
      <c r="O65" s="151" t="n"/>
      <c r="P65" s="151" t="n"/>
      <c r="Q65" s="151" t="n"/>
      <c r="R65" s="151" t="n"/>
    </row>
    <row r="66" ht="9.949999999999999" customHeight="1" s="241">
      <c r="A66" s="301" t="n"/>
      <c r="B66" s="246" t="n"/>
      <c r="C66" s="247" t="n"/>
      <c r="D66" s="248" t="n"/>
      <c r="M66" s="290" t="n"/>
      <c r="N66" s="151" t="n"/>
      <c r="O66" s="151" t="n"/>
      <c r="P66" s="151" t="n"/>
      <c r="Q66" s="151" t="n"/>
      <c r="R66" s="151" t="n"/>
    </row>
    <row r="67" ht="9.949999999999999" customHeight="1" s="241">
      <c r="A67" s="301" t="n"/>
      <c r="B67" s="246" t="n"/>
      <c r="C67" s="247" t="n"/>
      <c r="D67" s="248" t="n"/>
      <c r="M67" s="290" t="n"/>
      <c r="N67" s="151" t="n"/>
      <c r="O67" s="151" t="n"/>
      <c r="P67" s="151" t="n"/>
      <c r="Q67" s="151" t="n"/>
      <c r="R67" s="151" t="n"/>
    </row>
    <row r="68" ht="9.949999999999999" customHeight="1" s="241">
      <c r="A68" s="301" t="n"/>
      <c r="B68" s="246" t="n"/>
      <c r="C68" s="247" t="n"/>
      <c r="D68" s="294" t="n"/>
      <c r="E68" s="292" t="n"/>
      <c r="F68" s="292" t="n"/>
      <c r="G68" s="292" t="n"/>
      <c r="H68" s="292" t="n"/>
      <c r="I68" s="292" t="n"/>
      <c r="J68" s="292" t="n"/>
      <c r="K68" s="292" t="n"/>
      <c r="L68" s="292" t="n"/>
      <c r="M68" s="295" t="n"/>
      <c r="N68" s="151" t="n"/>
      <c r="O68" s="151" t="n"/>
      <c r="P68" s="151" t="n"/>
      <c r="Q68" s="151" t="n"/>
      <c r="R68" s="151" t="n"/>
    </row>
    <row r="69" ht="25.5" customHeight="1" s="241">
      <c r="A69" s="301" t="n"/>
      <c r="B69" s="246" t="n"/>
      <c r="C69" s="247" t="n"/>
      <c r="D69" s="69">
        <f>IF(C1=1,"Data do material OK    ( Ponto de corte)","
Material date OK (Cut-off point)")</f>
        <v/>
      </c>
      <c r="E69" s="225" t="n"/>
      <c r="F69" s="138">
        <f>IF(C1=1,"Como as peças novas serão identificadas?","How will the new parts be identified?")</f>
        <v/>
      </c>
      <c r="G69" s="225" t="n"/>
      <c r="H69" s="225" t="n"/>
      <c r="I69" s="226" t="n"/>
      <c r="J69" s="138">
        <f>IF(C1=1,"Responsável pela verificação","Responsible for verification")</f>
        <v/>
      </c>
      <c r="K69" s="226" t="n"/>
      <c r="L69" s="289">
        <f>IF(C1=1,"Data de verificação","
Check date")</f>
        <v/>
      </c>
      <c r="M69" s="252" t="n"/>
      <c r="N69" s="151" t="n"/>
      <c r="O69" s="151" t="n"/>
      <c r="P69" s="151" t="n"/>
      <c r="Q69" s="151" t="n"/>
      <c r="R69" s="151" t="n"/>
    </row>
    <row r="70" ht="15" customHeight="1" s="241" thickBot="1">
      <c r="A70" s="301" t="n"/>
      <c r="B70" s="323" t="n"/>
      <c r="C70" s="277" t="n"/>
      <c r="D70" s="66" t="n"/>
      <c r="E70" s="297" t="n"/>
      <c r="F70" s="66" t="n"/>
      <c r="G70" s="298" t="n"/>
      <c r="H70" s="298" t="n"/>
      <c r="I70" s="297" t="n"/>
      <c r="J70" s="66" t="n"/>
      <c r="K70" s="297" t="n"/>
      <c r="L70" s="66" t="n"/>
      <c r="M70" s="297" t="n"/>
      <c r="N70" s="151" t="n"/>
      <c r="O70" s="151" t="n"/>
      <c r="P70" s="151" t="n"/>
      <c r="Q70" s="151" t="n"/>
      <c r="R70" s="151" t="n"/>
    </row>
    <row r="71" ht="15" customHeight="1" s="241">
      <c r="A71" s="301" t="n"/>
      <c r="B71" s="321">
        <f>IF(C1=1,"7. Ação preventiva e evidência das ações","7. Preventive action and evidence of actions")</f>
        <v/>
      </c>
      <c r="C71" s="244" t="n"/>
      <c r="D71" s="324">
        <f>IF(C1=1,"Como este assunto será evitado no futuro?","How will this issue be avoided in the future?")</f>
        <v/>
      </c>
      <c r="E71" s="284" t="n"/>
      <c r="F71" s="284" t="n"/>
      <c r="G71" s="284" t="n"/>
      <c r="H71" s="284" t="n"/>
      <c r="I71" s="284" t="n"/>
      <c r="J71" s="284" t="n"/>
      <c r="K71" s="284" t="n"/>
      <c r="L71" s="284" t="n"/>
      <c r="M71" s="285" t="n"/>
      <c r="N71" s="151" t="n"/>
      <c r="O71" s="151" t="n"/>
      <c r="P71" s="151" t="n"/>
      <c r="Q71" s="151" t="n"/>
      <c r="R71" s="151" t="n"/>
    </row>
    <row r="72" ht="15" customHeight="1" s="241">
      <c r="A72" s="301" t="n"/>
      <c r="B72" s="246" t="n"/>
      <c r="C72" s="247" t="n"/>
      <c r="D72" s="289" t="n"/>
      <c r="E72" s="250" t="n"/>
      <c r="F72" s="250" t="n"/>
      <c r="G72" s="250" t="n"/>
      <c r="H72" s="250" t="n"/>
      <c r="I72" s="250" t="n"/>
      <c r="J72" s="250" t="n"/>
      <c r="K72" s="250" t="n"/>
      <c r="L72" s="250" t="n"/>
      <c r="M72" s="251" t="n"/>
      <c r="N72" s="151" t="n"/>
      <c r="O72" s="151" t="n"/>
      <c r="P72" s="151" t="n"/>
      <c r="Q72" s="151" t="n"/>
      <c r="R72" s="151" t="n"/>
    </row>
    <row r="73" ht="15" customHeight="1" s="241">
      <c r="A73" s="301" t="n"/>
      <c r="B73" s="246" t="n"/>
      <c r="C73" s="247" t="n"/>
      <c r="D73" s="248" t="n"/>
      <c r="M73" s="290" t="n"/>
      <c r="N73" s="151" t="n"/>
      <c r="O73" s="151" t="n"/>
      <c r="P73" s="151" t="n"/>
      <c r="Q73" s="151" t="n"/>
      <c r="R73" s="151" t="n"/>
    </row>
    <row r="74" ht="15" customHeight="1" s="241">
      <c r="A74" s="301" t="n"/>
      <c r="B74" s="246" t="n"/>
      <c r="C74" s="247" t="n"/>
      <c r="D74" s="248" t="n"/>
      <c r="M74" s="290" t="n"/>
      <c r="N74" s="151" t="n"/>
      <c r="O74" s="151" t="n"/>
      <c r="P74" s="151" t="n"/>
      <c r="Q74" s="151" t="n"/>
      <c r="R74" s="151" t="n"/>
    </row>
    <row r="75" ht="15" customHeight="1" s="241">
      <c r="A75" s="301" t="n"/>
      <c r="B75" s="246" t="n"/>
      <c r="C75" s="247" t="n"/>
      <c r="D75" s="294" t="n"/>
      <c r="E75" s="292" t="n"/>
      <c r="F75" s="292" t="n"/>
      <c r="G75" s="292" t="n"/>
      <c r="H75" s="292" t="n"/>
      <c r="I75" s="292" t="n"/>
      <c r="J75" s="292" t="n"/>
      <c r="K75" s="292" t="n"/>
      <c r="L75" s="292" t="n"/>
      <c r="M75" s="295" t="n"/>
      <c r="N75" s="151" t="n"/>
      <c r="O75" s="151" t="n"/>
      <c r="P75" s="151" t="n"/>
      <c r="Q75" s="151" t="n"/>
      <c r="R75" s="151" t="n"/>
    </row>
    <row r="76" ht="15" customHeight="1" s="241">
      <c r="A76" s="301" t="n"/>
      <c r="B76" s="246" t="n"/>
      <c r="C76" s="247" t="n"/>
      <c r="D76" s="40">
        <f>IF(C1=1,"Implementação de ação preventiva para outros Processos? Produtos? Quais?","Will there be implementation of preventive action for other processes? Products? Which ones?")</f>
        <v/>
      </c>
      <c r="E76" s="225" t="n"/>
      <c r="F76" s="225" t="n"/>
      <c r="G76" s="225" t="n"/>
      <c r="H76" s="225" t="n"/>
      <c r="I76" s="225" t="n"/>
      <c r="J76" s="225" t="n"/>
      <c r="K76" s="225" t="n"/>
      <c r="L76" s="225" t="n"/>
      <c r="M76" s="252" t="n"/>
      <c r="N76" s="151" t="n"/>
      <c r="O76" s="151" t="n"/>
      <c r="P76" s="151" t="n"/>
      <c r="Q76" s="151" t="n"/>
      <c r="R76" s="151" t="n"/>
    </row>
    <row r="77" ht="15" customHeight="1" s="241">
      <c r="A77" s="301" t="n"/>
      <c r="B77" s="246" t="n"/>
      <c r="C77" s="247" t="n"/>
      <c r="D77" s="40" t="n"/>
      <c r="E77" s="250" t="n"/>
      <c r="F77" s="250" t="n"/>
      <c r="G77" s="250" t="n"/>
      <c r="H77" s="250" t="n"/>
      <c r="I77" s="250" t="n"/>
      <c r="J77" s="250" t="n"/>
      <c r="K77" s="250" t="n"/>
      <c r="L77" s="250" t="n"/>
      <c r="M77" s="251" t="n"/>
      <c r="N77" s="151" t="n"/>
      <c r="O77" s="151" t="n"/>
      <c r="P77" s="151" t="n"/>
      <c r="Q77" s="151" t="n"/>
      <c r="R77" s="151" t="n"/>
    </row>
    <row r="78" ht="15" customHeight="1" s="241">
      <c r="A78" s="301" t="n"/>
      <c r="B78" s="246" t="n"/>
      <c r="C78" s="247" t="n"/>
      <c r="D78" s="248" t="n"/>
      <c r="M78" s="290" t="n"/>
      <c r="N78" s="151" t="n"/>
      <c r="O78" s="151" t="n"/>
      <c r="P78" s="151" t="n"/>
      <c r="Q78" s="151" t="n"/>
      <c r="R78" s="151" t="n"/>
    </row>
    <row r="79" ht="15" customHeight="1" s="241">
      <c r="A79" s="301" t="n"/>
      <c r="B79" s="246" t="n"/>
      <c r="C79" s="247" t="n"/>
      <c r="D79" s="248" t="n"/>
      <c r="M79" s="290" t="n"/>
      <c r="N79" s="151" t="n"/>
      <c r="O79" s="151" t="n"/>
      <c r="P79" s="151" t="n"/>
      <c r="Q79" s="151" t="n"/>
      <c r="R79" s="151" t="n"/>
    </row>
    <row r="80" ht="15" customHeight="1" s="241">
      <c r="A80" s="301" t="n"/>
      <c r="B80" s="246" t="n"/>
      <c r="C80" s="247" t="n"/>
      <c r="D80" s="248" t="n"/>
      <c r="M80" s="290" t="n"/>
      <c r="N80" s="151" t="n"/>
      <c r="O80" s="151" t="n"/>
      <c r="P80" s="151" t="n"/>
      <c r="Q80" s="151" t="n"/>
      <c r="R80" s="151" t="n"/>
    </row>
    <row r="81" ht="15" customHeight="1" s="241">
      <c r="A81" s="301" t="n"/>
      <c r="B81" s="246" t="n"/>
      <c r="C81" s="247" t="n"/>
      <c r="D81" s="294" t="n"/>
      <c r="E81" s="292" t="n"/>
      <c r="F81" s="292" t="n"/>
      <c r="G81" s="292" t="n"/>
      <c r="H81" s="292" t="n"/>
      <c r="I81" s="292" t="n"/>
      <c r="J81" s="292" t="n"/>
      <c r="K81" s="292" t="n"/>
      <c r="L81" s="292" t="n"/>
      <c r="M81" s="295" t="n"/>
      <c r="N81" s="151" t="n"/>
      <c r="O81" s="151" t="n"/>
      <c r="P81" s="151" t="n"/>
      <c r="Q81" s="151" t="n"/>
      <c r="R81" s="151" t="n"/>
    </row>
    <row r="82" ht="15" customHeight="1" s="241">
      <c r="A82" s="301" t="n"/>
      <c r="B82" s="246" t="n"/>
      <c r="C82" s="247" t="n"/>
      <c r="D82" s="30">
        <f>IF(C1=1,"Responsável pela avaliação","Responsible for evaluation")</f>
        <v/>
      </c>
      <c r="E82" s="225" t="n"/>
      <c r="F82" s="225" t="n"/>
      <c r="G82" s="225" t="n"/>
      <c r="H82" s="226" t="n"/>
      <c r="I82" s="80">
        <f>IF(C1=1,"Data de conclusão da avaliação","Evaluation Completion Date")</f>
        <v/>
      </c>
      <c r="J82" s="225" t="n"/>
      <c r="K82" s="225" t="n"/>
      <c r="L82" s="225" t="n"/>
      <c r="M82" s="252" t="n"/>
      <c r="N82" s="151" t="n"/>
      <c r="O82" s="151" t="n"/>
      <c r="P82" s="151" t="n"/>
      <c r="Q82" s="151" t="n"/>
      <c r="R82" s="151" t="n"/>
    </row>
    <row r="83" ht="15" customHeight="1" s="241">
      <c r="A83" s="301" t="n"/>
      <c r="B83" s="246" t="n"/>
      <c r="C83" s="247" t="n"/>
      <c r="D83" s="30" t="n"/>
      <c r="E83" s="225" t="n"/>
      <c r="F83" s="225" t="n"/>
      <c r="G83" s="225" t="n"/>
      <c r="H83" s="226" t="n"/>
      <c r="I83" s="325" t="n"/>
      <c r="J83" s="225" t="n"/>
      <c r="K83" s="225" t="n"/>
      <c r="L83" s="225" t="n"/>
      <c r="M83" s="252" t="n"/>
      <c r="N83" s="151" t="n"/>
      <c r="O83" s="151" t="n"/>
      <c r="P83" s="151" t="n"/>
      <c r="Q83" s="151" t="n"/>
      <c r="R83" s="151" t="n"/>
    </row>
    <row r="84" ht="15" customHeight="1" s="241">
      <c r="A84" s="301" t="n"/>
      <c r="B84" s="246" t="n"/>
      <c r="C84" s="247" t="n"/>
      <c r="D84" s="138">
        <f>IF(C1=1,"Documentação necessária foi atualizada ou criada?","Has the required documentation been updated or created?")</f>
        <v/>
      </c>
      <c r="E84" s="254" t="n"/>
      <c r="F84" s="30">
        <f>IF(C1=1,"Documentos afetados","Affected documents")</f>
        <v/>
      </c>
      <c r="G84" s="225" t="n"/>
      <c r="H84" s="226" t="n"/>
      <c r="I84" s="30">
        <f>IF(C1=1,"Responsável","Responsible")</f>
        <v/>
      </c>
      <c r="J84" s="226" t="n"/>
      <c r="K84" s="30">
        <f>IF(C1=1,"Data","Date")</f>
        <v/>
      </c>
      <c r="L84" s="225" t="n"/>
      <c r="M84" s="226" t="n"/>
      <c r="N84" s="151" t="n"/>
      <c r="O84" s="151" t="n"/>
      <c r="P84" s="151" t="n"/>
      <c r="Q84" s="151" t="n"/>
      <c r="R84" s="151" t="n"/>
    </row>
    <row r="85" ht="15" customHeight="1" s="241">
      <c r="A85" s="301" t="n"/>
      <c r="B85" s="246" t="n"/>
      <c r="C85" s="247" t="n"/>
      <c r="D85" s="248" t="n"/>
      <c r="E85" s="247" t="n"/>
      <c r="F85" s="30" t="n"/>
      <c r="G85" s="225" t="n"/>
      <c r="H85" s="226" t="n"/>
      <c r="I85" s="30" t="n"/>
      <c r="J85" s="226" t="n"/>
      <c r="K85" s="39" t="n"/>
      <c r="L85" s="225" t="n"/>
      <c r="M85" s="226" t="n"/>
      <c r="N85" s="151" t="n"/>
      <c r="O85" s="151" t="n"/>
      <c r="P85" s="151" t="n"/>
      <c r="Q85" s="151" t="n"/>
      <c r="R85" s="151" t="n"/>
    </row>
    <row r="86" ht="15" customHeight="1" s="241">
      <c r="A86" s="301" t="n"/>
      <c r="B86" s="246" t="n"/>
      <c r="C86" s="247" t="n"/>
      <c r="D86" s="248" t="n"/>
      <c r="E86" s="247" t="n"/>
      <c r="F86" s="30" t="n"/>
      <c r="G86" s="225" t="n"/>
      <c r="H86" s="226" t="n"/>
      <c r="I86" s="30" t="n"/>
      <c r="J86" s="226" t="n"/>
      <c r="K86" s="39" t="n"/>
      <c r="L86" s="225" t="n"/>
      <c r="M86" s="226" t="n"/>
      <c r="N86" s="151" t="n"/>
      <c r="O86" s="151" t="n"/>
      <c r="P86" s="151" t="n"/>
      <c r="Q86" s="151" t="n"/>
      <c r="R86" s="151" t="n"/>
    </row>
    <row r="87" ht="15" customHeight="1" s="241">
      <c r="A87" s="301" t="n"/>
      <c r="B87" s="246" t="n"/>
      <c r="C87" s="247" t="n"/>
      <c r="D87" s="248" t="n"/>
      <c r="E87" s="247" t="n"/>
      <c r="F87" s="30" t="n"/>
      <c r="G87" s="225" t="n"/>
      <c r="H87" s="226" t="n"/>
      <c r="I87" s="30" t="n"/>
      <c r="J87" s="226" t="n"/>
      <c r="K87" s="39" t="n"/>
      <c r="L87" s="225" t="n"/>
      <c r="M87" s="226" t="n"/>
      <c r="N87" s="151" t="n"/>
      <c r="O87" s="151" t="n"/>
      <c r="P87" s="151" t="n"/>
      <c r="Q87" s="151" t="n"/>
      <c r="R87" s="151" t="n"/>
    </row>
    <row r="88" ht="15" customHeight="1" s="241">
      <c r="A88" s="301" t="n"/>
      <c r="B88" s="246" t="n"/>
      <c r="C88" s="247" t="n"/>
      <c r="D88" s="294" t="n"/>
      <c r="E88" s="293" t="n"/>
      <c r="F88" s="30" t="n"/>
      <c r="G88" s="225" t="n"/>
      <c r="H88" s="226" t="n"/>
      <c r="I88" s="30" t="n"/>
      <c r="J88" s="226" t="n"/>
      <c r="K88" s="30" t="n"/>
      <c r="L88" s="225" t="n"/>
      <c r="M88" s="226" t="n"/>
      <c r="N88" s="151" t="n"/>
      <c r="O88" s="151" t="n"/>
      <c r="P88" s="151" t="n"/>
      <c r="Q88" s="151" t="n"/>
      <c r="R88" s="151" t="n"/>
    </row>
    <row r="89" ht="15" customHeight="1" s="241">
      <c r="A89" s="301" t="n"/>
      <c r="B89" s="246" t="n"/>
      <c r="C89" s="247" t="n"/>
      <c r="D89" s="30">
        <f>IF(C1=1,"Inserir evidências","
Insert evidence")</f>
        <v/>
      </c>
      <c r="E89" s="250" t="n"/>
      <c r="F89" s="250" t="n"/>
      <c r="G89" s="250" t="n"/>
      <c r="H89" s="254" t="n"/>
      <c r="I89" s="40">
        <f>D89</f>
        <v/>
      </c>
      <c r="J89" s="250" t="n"/>
      <c r="K89" s="250" t="n"/>
      <c r="L89" s="250" t="n"/>
      <c r="M89" s="251" t="n"/>
      <c r="N89" s="151" t="n"/>
      <c r="O89" s="151" t="n"/>
      <c r="P89" s="151" t="n"/>
      <c r="Q89" s="151" t="n"/>
      <c r="R89" s="151" t="n"/>
    </row>
    <row r="90" ht="15" customHeight="1" s="241">
      <c r="A90" s="301" t="n"/>
      <c r="B90" s="246" t="n"/>
      <c r="C90" s="247" t="n"/>
      <c r="D90" s="248" t="n"/>
      <c r="H90" s="247" t="n"/>
      <c r="I90" s="248" t="n"/>
      <c r="M90" s="290" t="n"/>
      <c r="N90" s="151" t="n"/>
      <c r="O90" s="151" t="n"/>
      <c r="P90" s="151" t="n"/>
      <c r="Q90" s="151" t="n"/>
      <c r="R90" s="151" t="n"/>
    </row>
    <row r="91" ht="15" customHeight="1" s="241">
      <c r="A91" s="301" t="n"/>
      <c r="B91" s="246" t="n"/>
      <c r="C91" s="247" t="n"/>
      <c r="D91" s="248" t="n"/>
      <c r="H91" s="247" t="n"/>
      <c r="I91" s="248" t="n"/>
      <c r="M91" s="290" t="n"/>
      <c r="N91" s="151" t="n"/>
      <c r="O91" s="151" t="n"/>
      <c r="P91" s="151" t="n"/>
      <c r="Q91" s="151" t="n"/>
      <c r="R91" s="151" t="n"/>
    </row>
    <row r="92" ht="15" customHeight="1" s="241">
      <c r="A92" s="301" t="n"/>
      <c r="B92" s="246" t="n"/>
      <c r="C92" s="247" t="n"/>
      <c r="D92" s="248" t="n"/>
      <c r="H92" s="247" t="n"/>
      <c r="I92" s="248" t="n"/>
      <c r="M92" s="290" t="n"/>
      <c r="N92" s="151" t="n"/>
      <c r="O92" s="151" t="n"/>
      <c r="P92" s="151" t="n"/>
      <c r="Q92" s="151" t="n"/>
      <c r="R92" s="151" t="n"/>
    </row>
    <row r="93" ht="15" customHeight="1" s="241">
      <c r="A93" s="301" t="n"/>
      <c r="B93" s="246" t="n"/>
      <c r="C93" s="247" t="n"/>
      <c r="D93" s="248" t="n"/>
      <c r="H93" s="247" t="n"/>
      <c r="I93" s="248" t="n"/>
      <c r="M93" s="290" t="n"/>
      <c r="N93" s="151" t="n"/>
      <c r="O93" s="151" t="n"/>
      <c r="P93" s="151" t="n"/>
      <c r="Q93" s="151" t="n"/>
      <c r="R93" s="151" t="n"/>
    </row>
    <row r="94" ht="15" customHeight="1" s="241">
      <c r="A94" s="301" t="n"/>
      <c r="B94" s="246" t="n"/>
      <c r="C94" s="247" t="n"/>
      <c r="D94" s="248" t="n"/>
      <c r="H94" s="247" t="n"/>
      <c r="I94" s="248" t="n"/>
      <c r="M94" s="290" t="n"/>
      <c r="N94" s="151" t="n"/>
      <c r="O94" s="151" t="n"/>
      <c r="P94" s="151" t="n"/>
      <c r="Q94" s="151" t="n"/>
      <c r="R94" s="151" t="n"/>
    </row>
    <row r="95" ht="15" customHeight="1" s="241">
      <c r="A95" s="301" t="n"/>
      <c r="B95" s="246" t="n"/>
      <c r="C95" s="247" t="n"/>
      <c r="D95" s="248" t="n"/>
      <c r="H95" s="247" t="n"/>
      <c r="I95" s="248" t="n"/>
      <c r="M95" s="290" t="n"/>
      <c r="N95" s="151" t="n"/>
      <c r="O95" s="151" t="n"/>
      <c r="P95" s="151" t="n"/>
      <c r="Q95" s="151" t="n"/>
      <c r="R95" s="151" t="n"/>
    </row>
    <row r="96" ht="15" customHeight="1" s="241">
      <c r="A96" s="301" t="n"/>
      <c r="B96" s="246" t="n"/>
      <c r="C96" s="247" t="n"/>
      <c r="D96" s="248" t="n"/>
      <c r="H96" s="247" t="n"/>
      <c r="I96" s="248" t="n"/>
      <c r="M96" s="290" t="n"/>
      <c r="N96" s="151" t="n"/>
      <c r="O96" s="151" t="n"/>
      <c r="P96" s="151" t="n"/>
      <c r="Q96" s="151" t="n"/>
      <c r="R96" s="151" t="n"/>
    </row>
    <row r="97" ht="15" customHeight="1" s="241">
      <c r="A97" s="301" t="n"/>
      <c r="B97" s="246" t="n"/>
      <c r="C97" s="247" t="n"/>
      <c r="D97" s="294" t="n"/>
      <c r="E97" s="292" t="n"/>
      <c r="F97" s="292" t="n"/>
      <c r="G97" s="292" t="n"/>
      <c r="H97" s="293" t="n"/>
      <c r="I97" s="294" t="n"/>
      <c r="J97" s="292" t="n"/>
      <c r="K97" s="292" t="n"/>
      <c r="L97" s="292" t="n"/>
      <c r="M97" s="295" t="n"/>
      <c r="N97" s="151" t="n"/>
      <c r="O97" s="151" t="n"/>
      <c r="P97" s="151" t="n"/>
      <c r="Q97" s="151" t="n"/>
      <c r="R97" s="151" t="n"/>
    </row>
    <row r="98" ht="15" customHeight="1" s="241">
      <c r="A98" s="301" t="n"/>
      <c r="B98" s="246" t="n"/>
      <c r="C98" s="247" t="n"/>
      <c r="D98" s="66">
        <f>D89</f>
        <v/>
      </c>
      <c r="E98" s="250" t="n"/>
      <c r="F98" s="250" t="n"/>
      <c r="G98" s="250" t="n"/>
      <c r="H98" s="254" t="n"/>
      <c r="I98" s="228">
        <f>I89</f>
        <v/>
      </c>
      <c r="J98" s="250" t="n"/>
      <c r="K98" s="250" t="n"/>
      <c r="L98" s="250" t="n"/>
      <c r="M98" s="251" t="n"/>
      <c r="N98" s="151" t="n"/>
      <c r="O98" s="151" t="n"/>
      <c r="P98" s="151" t="n"/>
      <c r="Q98" s="151" t="n"/>
      <c r="R98" s="151" t="n"/>
    </row>
    <row r="99" ht="15" customHeight="1" s="241">
      <c r="A99" s="301" t="n"/>
      <c r="B99" s="246" t="n"/>
      <c r="C99" s="247" t="n"/>
      <c r="D99" s="248" t="n"/>
      <c r="H99" s="247" t="n"/>
      <c r="I99" s="248" t="n"/>
      <c r="M99" s="290" t="n"/>
      <c r="N99" s="151" t="n"/>
      <c r="O99" s="151" t="n"/>
      <c r="P99" s="151" t="n"/>
      <c r="Q99" s="151" t="n"/>
      <c r="R99" s="151" t="n"/>
    </row>
    <row r="100" ht="15" customHeight="1" s="241">
      <c r="A100" s="301" t="n"/>
      <c r="B100" s="246" t="n"/>
      <c r="C100" s="247" t="n"/>
      <c r="D100" s="248" t="n"/>
      <c r="H100" s="247" t="n"/>
      <c r="I100" s="248" t="n"/>
      <c r="M100" s="290" t="n"/>
      <c r="N100" s="151" t="n"/>
      <c r="O100" s="151" t="n"/>
      <c r="P100" s="151" t="n"/>
      <c r="Q100" s="151" t="n"/>
      <c r="R100" s="151" t="n"/>
    </row>
    <row r="101" ht="15" customHeight="1" s="241">
      <c r="A101" s="301" t="n"/>
      <c r="B101" s="246" t="n"/>
      <c r="C101" s="247" t="n"/>
      <c r="D101" s="248" t="n"/>
      <c r="H101" s="247" t="n"/>
      <c r="I101" s="248" t="n"/>
      <c r="M101" s="290" t="n"/>
      <c r="N101" s="151" t="n"/>
      <c r="O101" s="151" t="n"/>
      <c r="P101" s="151" t="n"/>
      <c r="Q101" s="151" t="n"/>
      <c r="R101" s="151" t="n"/>
    </row>
    <row r="102" ht="15" customHeight="1" s="241">
      <c r="A102" s="301" t="n"/>
      <c r="B102" s="246" t="n"/>
      <c r="C102" s="247" t="n"/>
      <c r="D102" s="248" t="n"/>
      <c r="H102" s="247" t="n"/>
      <c r="I102" s="248" t="n"/>
      <c r="M102" s="290" t="n"/>
      <c r="N102" s="151" t="n"/>
      <c r="O102" s="151" t="n"/>
      <c r="P102" s="151" t="n"/>
      <c r="Q102" s="151" t="n"/>
      <c r="R102" s="151" t="n"/>
    </row>
    <row r="103" ht="15" customHeight="1" s="241">
      <c r="A103" s="301" t="n"/>
      <c r="B103" s="246" t="n"/>
      <c r="C103" s="247" t="n"/>
      <c r="D103" s="248" t="n"/>
      <c r="H103" s="247" t="n"/>
      <c r="I103" s="248" t="n"/>
      <c r="M103" s="290" t="n"/>
      <c r="N103" s="151" t="n"/>
      <c r="O103" s="151" t="n"/>
      <c r="P103" s="151" t="n"/>
      <c r="Q103" s="151" t="n"/>
      <c r="R103" s="151" t="n"/>
    </row>
    <row r="104" ht="15" customHeight="1" s="241">
      <c r="A104" s="301" t="n"/>
      <c r="B104" s="246" t="n"/>
      <c r="C104" s="247" t="n"/>
      <c r="D104" s="248" t="n"/>
      <c r="H104" s="247" t="n"/>
      <c r="I104" s="248" t="n"/>
      <c r="M104" s="290" t="n"/>
      <c r="N104" s="151" t="n"/>
      <c r="O104" s="151" t="n"/>
      <c r="P104" s="151" t="n"/>
      <c r="Q104" s="151" t="n"/>
      <c r="R104" s="151" t="n"/>
    </row>
    <row r="105" ht="26.25" customHeight="1" s="241" thickBot="1">
      <c r="A105" s="320" t="n"/>
      <c r="B105" s="323" t="n"/>
      <c r="C105" s="277" t="n"/>
      <c r="D105" s="318" t="n"/>
      <c r="E105" s="267" t="n"/>
      <c r="F105" s="267" t="n"/>
      <c r="G105" s="267" t="n"/>
      <c r="H105" s="277" t="n"/>
      <c r="I105" s="318" t="n"/>
      <c r="J105" s="267" t="n"/>
      <c r="K105" s="267" t="n"/>
      <c r="L105" s="267" t="n"/>
      <c r="M105" s="268" t="n"/>
      <c r="N105" s="151" t="n"/>
      <c r="O105" s="151" t="n"/>
      <c r="P105" s="151" t="n"/>
      <c r="Q105" s="151" t="n"/>
      <c r="R105" s="151" t="n"/>
    </row>
    <row r="106" ht="15" customHeight="1" s="241">
      <c r="A106" s="234">
        <f>IF(C1=1," Uso WEG","WEG USE")</f>
        <v/>
      </c>
      <c r="B106" s="45">
        <f>IF(C1=1,"8. Verificação da eficácia","8. Verification of effectiveness")</f>
        <v/>
      </c>
      <c r="C106" s="247" t="n"/>
      <c r="D106" s="324">
        <f>IF(C1=1,"Fechamento do relatório 8D","Closing the 8D report")</f>
        <v/>
      </c>
      <c r="E106" s="284" t="n"/>
      <c r="F106" s="284" t="n"/>
      <c r="G106" s="284" t="n"/>
      <c r="H106" s="284" t="n"/>
      <c r="I106" s="284" t="n"/>
      <c r="J106" s="284" t="n"/>
      <c r="K106" s="284" t="n"/>
      <c r="L106" s="284" t="n"/>
      <c r="M106" s="285" t="n"/>
      <c r="N106" s="151" t="n"/>
      <c r="O106" s="151" t="n"/>
      <c r="P106" s="151" t="n"/>
      <c r="Q106" s="151" t="n"/>
      <c r="R106" s="151" t="n"/>
    </row>
    <row r="107" ht="39.95" customHeight="1" s="241">
      <c r="A107" s="301" t="n"/>
      <c r="C107" s="247" t="n"/>
      <c r="D107" s="30">
        <f>IF(C1=1,"Conforme status da nota QM.","According to the status of the QM note.")</f>
        <v/>
      </c>
      <c r="E107" s="250" t="n"/>
      <c r="F107" s="250" t="n"/>
      <c r="G107" s="250" t="n"/>
      <c r="H107" s="250" t="n"/>
      <c r="I107" s="250" t="n"/>
      <c r="J107" s="250" t="n"/>
      <c r="K107" s="250" t="n"/>
      <c r="L107" s="250" t="n"/>
      <c r="M107" s="254" t="n"/>
      <c r="N107" s="151" t="n"/>
      <c r="O107" s="151" t="n"/>
      <c r="P107" s="151" t="n"/>
      <c r="Q107" s="151" t="n"/>
      <c r="R107" s="151" t="n"/>
    </row>
    <row r="108" ht="45" customHeight="1" s="241" thickBot="1">
      <c r="A108" s="326" t="n"/>
      <c r="B108" s="292" t="n"/>
      <c r="C108" s="293" t="n"/>
      <c r="D108" s="294" t="n"/>
      <c r="E108" s="292" t="n"/>
      <c r="F108" s="292" t="n"/>
      <c r="G108" s="292" t="n"/>
      <c r="H108" s="292" t="n"/>
      <c r="I108" s="292" t="n"/>
      <c r="J108" s="292" t="n"/>
      <c r="K108" s="292" t="n"/>
      <c r="L108" s="292" t="n"/>
      <c r="M108" s="293" t="n"/>
      <c r="N108" s="151" t="n"/>
      <c r="O108" s="151" t="n"/>
      <c r="P108" s="151" t="n"/>
      <c r="Q108" s="151" t="n"/>
      <c r="R108" s="151" t="n"/>
    </row>
    <row r="109" ht="14.25" customHeight="1" s="241">
      <c r="A109" s="237" t="inlineStr">
        <is>
          <t xml:space="preserve">WFR-20997_PT_EN - Rev.05 02/2023 </t>
        </is>
      </c>
      <c r="N109" s="151" t="n"/>
      <c r="O109" s="151" t="n"/>
      <c r="P109" s="151" t="n"/>
      <c r="Q109" s="151" t="n"/>
      <c r="R109" s="151" t="n"/>
    </row>
    <row r="110">
      <c r="A110" s="238" t="inlineStr">
        <is>
          <t>DELPI Componentes — PAC Qualidade</t>
        </is>
      </c>
      <c r="B110" s="238" t="n"/>
      <c r="C110" s="238" t="n"/>
      <c r="D110" s="151" t="n"/>
      <c r="E110" s="151" t="n"/>
      <c r="F110" s="151" t="n"/>
      <c r="G110" s="151" t="n"/>
      <c r="H110" s="151" t="n"/>
      <c r="I110" s="151" t="n"/>
      <c r="J110" s="151" t="n"/>
      <c r="K110" s="151" t="n"/>
      <c r="L110" s="151" t="n"/>
      <c r="M110" s="151" t="n"/>
      <c r="N110" s="151" t="n"/>
      <c r="O110" s="151" t="n"/>
      <c r="P110" s="151" t="n"/>
      <c r="Q110" s="151" t="n"/>
      <c r="R110" s="151" t="n"/>
    </row>
    <row r="111" ht="15" customHeight="1" s="241">
      <c r="A111" s="151" t="n"/>
      <c r="B111" s="151" t="n"/>
      <c r="C111" s="151" t="n"/>
      <c r="D111" s="151" t="n"/>
      <c r="E111" s="151" t="n"/>
      <c r="F111" s="151" t="n"/>
      <c r="G111" s="151" t="n"/>
      <c r="H111" s="151" t="n"/>
      <c r="I111" s="151" t="n"/>
      <c r="J111" s="151" t="n"/>
      <c r="K111" s="151" t="n"/>
      <c r="L111" s="151" t="n"/>
      <c r="M111" s="151" t="n"/>
      <c r="N111" s="151" t="n"/>
      <c r="O111" s="151" t="n"/>
      <c r="P111" s="151" t="n"/>
      <c r="Q111" s="151" t="n"/>
      <c r="R111" s="151" t="n"/>
    </row>
    <row r="112" ht="15" customHeight="1" s="241">
      <c r="A112" s="151" t="n"/>
      <c r="B112" s="151" t="n"/>
      <c r="C112" s="151" t="n"/>
      <c r="D112" s="151" t="n"/>
      <c r="E112" s="151" t="n"/>
      <c r="F112" s="151" t="n"/>
      <c r="G112" s="151" t="n"/>
      <c r="H112" s="151" t="n"/>
      <c r="I112" s="151" t="n"/>
      <c r="J112" s="151" t="n"/>
      <c r="K112" s="151" t="n"/>
      <c r="L112" s="151" t="n"/>
      <c r="M112" s="151" t="n"/>
      <c r="N112" s="151" t="n"/>
      <c r="O112" s="151" t="n"/>
      <c r="P112" s="151" t="n"/>
      <c r="Q112" s="151" t="n"/>
      <c r="R112" s="151" t="n"/>
    </row>
    <row r="113">
      <c r="A113" s="151" t="n"/>
      <c r="B113" s="151" t="n"/>
      <c r="C113" s="151" t="n"/>
      <c r="D113" s="151" t="n"/>
      <c r="E113" s="151" t="n"/>
      <c r="F113" s="151" t="n"/>
      <c r="G113" s="151" t="n"/>
      <c r="H113" s="151" t="n"/>
      <c r="I113" s="151" t="n"/>
      <c r="J113" s="151" t="n"/>
      <c r="K113" s="151" t="n"/>
      <c r="L113" s="151" t="n"/>
      <c r="M113" s="151" t="n"/>
      <c r="N113" s="151" t="n"/>
      <c r="O113" s="151" t="n"/>
      <c r="P113" s="151" t="n"/>
      <c r="Q113" s="151" t="n"/>
      <c r="R113" s="151" t="n"/>
    </row>
    <row r="114">
      <c r="A114" s="151" t="n"/>
      <c r="B114" s="151" t="n"/>
      <c r="C114" s="151" t="n"/>
      <c r="D114" s="151" t="n"/>
      <c r="E114" s="151" t="n"/>
      <c r="F114" s="151" t="n"/>
      <c r="G114" s="151" t="n"/>
      <c r="H114" s="151" t="n"/>
      <c r="I114" s="151" t="n"/>
      <c r="J114" s="151" t="n"/>
      <c r="K114" s="151" t="n"/>
      <c r="L114" s="151" t="n"/>
      <c r="M114" s="151" t="n"/>
      <c r="N114" s="151" t="n"/>
      <c r="O114" s="151" t="n"/>
      <c r="P114" s="151" t="n"/>
      <c r="Q114" s="151" t="n"/>
      <c r="R114" s="151" t="n"/>
    </row>
    <row r="115">
      <c r="A115" s="151" t="n"/>
      <c r="B115" s="151" t="n"/>
      <c r="C115" s="151" t="n"/>
      <c r="D115" s="151" t="n"/>
      <c r="E115" s="151" t="n"/>
      <c r="F115" s="151" t="n"/>
      <c r="G115" s="151" t="n"/>
      <c r="H115" s="151" t="n"/>
      <c r="I115" s="151" t="n"/>
      <c r="J115" s="151" t="n"/>
      <c r="K115" s="151" t="n"/>
      <c r="L115" s="151" t="n"/>
      <c r="M115" s="151" t="n"/>
      <c r="N115" s="151" t="n"/>
      <c r="O115" s="151" t="n"/>
      <c r="P115" s="151" t="n"/>
      <c r="Q115" s="151" t="n"/>
      <c r="R115" s="151" t="n"/>
    </row>
    <row r="116">
      <c r="A116" s="151" t="n"/>
      <c r="B116" s="151" t="n"/>
      <c r="C116" s="151" t="n"/>
      <c r="D116" s="151" t="n"/>
      <c r="E116" s="151" t="n"/>
      <c r="F116" s="151" t="n"/>
      <c r="G116" s="151" t="n"/>
      <c r="H116" s="151" t="n"/>
      <c r="I116" s="151" t="n"/>
      <c r="J116" s="151" t="n"/>
      <c r="K116" s="151" t="n"/>
      <c r="L116" s="151" t="n"/>
      <c r="M116" s="151" t="n"/>
      <c r="N116" s="151" t="n"/>
      <c r="O116" s="151" t="n"/>
      <c r="P116" s="151" t="n"/>
      <c r="Q116" s="151" t="n"/>
      <c r="R116" s="151" t="n"/>
    </row>
    <row r="117">
      <c r="A117" s="151" t="n"/>
      <c r="B117" s="151" t="n"/>
      <c r="C117" s="151" t="n"/>
      <c r="D117" s="151" t="n"/>
      <c r="E117" s="151" t="n"/>
      <c r="F117" s="151" t="n"/>
      <c r="G117" s="151" t="n"/>
      <c r="H117" s="151" t="n"/>
      <c r="I117" s="151" t="n"/>
      <c r="J117" s="151" t="n"/>
      <c r="K117" s="151" t="n"/>
      <c r="L117" s="151" t="n"/>
      <c r="M117" s="151" t="n"/>
      <c r="N117" s="151" t="n"/>
      <c r="O117" s="151" t="n"/>
      <c r="P117" s="151" t="n"/>
      <c r="Q117" s="151" t="n"/>
      <c r="R117" s="151" t="n"/>
    </row>
    <row r="118">
      <c r="D118" s="151" t="n"/>
      <c r="E118" s="151" t="n"/>
      <c r="F118" s="151" t="n"/>
      <c r="G118" s="151" t="n"/>
      <c r="H118" s="151" t="n"/>
      <c r="I118" s="151" t="n"/>
      <c r="J118" s="151" t="n"/>
      <c r="K118" s="151" t="n"/>
      <c r="L118" s="151" t="n"/>
      <c r="M118" s="151" t="n"/>
      <c r="N118" s="151" t="n"/>
      <c r="O118" s="151" t="n"/>
      <c r="P118" s="151" t="n"/>
      <c r="Q118" s="151" t="n"/>
      <c r="R118" s="151" t="n"/>
    </row>
  </sheetData>
  <mergeCells count="194">
    <mergeCell ref="G21:H21"/>
    <mergeCell ref="G38:I38"/>
    <mergeCell ref="D60:E60"/>
    <mergeCell ref="D63:M68"/>
    <mergeCell ref="A5:D5"/>
    <mergeCell ref="H10:I10"/>
    <mergeCell ref="F85:H85"/>
    <mergeCell ref="C1:C2"/>
    <mergeCell ref="J35:L35"/>
    <mergeCell ref="D61:M62"/>
    <mergeCell ref="B61:C70"/>
    <mergeCell ref="H9:I9"/>
    <mergeCell ref="J33:M33"/>
    <mergeCell ref="D84:E88"/>
    <mergeCell ref="N5:N6"/>
    <mergeCell ref="A13:M13"/>
    <mergeCell ref="D30:M32"/>
    <mergeCell ref="H27:M27"/>
    <mergeCell ref="D70:E70"/>
    <mergeCell ref="J5:M5"/>
    <mergeCell ref="E7:G7"/>
    <mergeCell ref="E34:F34"/>
    <mergeCell ref="D22:G22"/>
    <mergeCell ref="D72:M75"/>
    <mergeCell ref="J9:M9"/>
    <mergeCell ref="B41:C53"/>
    <mergeCell ref="A7:D7"/>
    <mergeCell ref="J39:L39"/>
    <mergeCell ref="F59:I59"/>
    <mergeCell ref="D98:H105"/>
    <mergeCell ref="E36:F36"/>
    <mergeCell ref="K3:M3"/>
    <mergeCell ref="I49:J52"/>
    <mergeCell ref="D56:E56"/>
    <mergeCell ref="K49:L52"/>
    <mergeCell ref="F87:H87"/>
    <mergeCell ref="J38:L38"/>
    <mergeCell ref="K53:L53"/>
    <mergeCell ref="I82:M82"/>
    <mergeCell ref="F70:I70"/>
    <mergeCell ref="G36:I36"/>
    <mergeCell ref="K44:L45"/>
    <mergeCell ref="E53:F53"/>
    <mergeCell ref="B22:C29"/>
    <mergeCell ref="J40:L40"/>
    <mergeCell ref="I84:J84"/>
    <mergeCell ref="E44:F45"/>
    <mergeCell ref="D106:M106"/>
    <mergeCell ref="O5:O6"/>
    <mergeCell ref="F56:I56"/>
    <mergeCell ref="K84:M84"/>
    <mergeCell ref="G37:I37"/>
    <mergeCell ref="I46:J46"/>
    <mergeCell ref="F58:I58"/>
    <mergeCell ref="I86:J86"/>
    <mergeCell ref="D24:G24"/>
    <mergeCell ref="B54:C60"/>
    <mergeCell ref="B106:C108"/>
    <mergeCell ref="E48:F48"/>
    <mergeCell ref="G48:H48"/>
    <mergeCell ref="A1:B3"/>
    <mergeCell ref="E6:G6"/>
    <mergeCell ref="K86:M86"/>
    <mergeCell ref="A106:A108"/>
    <mergeCell ref="F60:I60"/>
    <mergeCell ref="A9:D9"/>
    <mergeCell ref="E38:F38"/>
    <mergeCell ref="D26:G26"/>
    <mergeCell ref="F57:I57"/>
    <mergeCell ref="D54:M54"/>
    <mergeCell ref="J8:M8"/>
    <mergeCell ref="A61:A105"/>
    <mergeCell ref="A11:D11"/>
    <mergeCell ref="E40:F40"/>
    <mergeCell ref="D33:I33"/>
    <mergeCell ref="J10:M10"/>
    <mergeCell ref="I43:J43"/>
    <mergeCell ref="K1:M2"/>
    <mergeCell ref="H11:I11"/>
    <mergeCell ref="K43:L43"/>
    <mergeCell ref="E14:H14"/>
    <mergeCell ref="H24:M24"/>
    <mergeCell ref="I89:M97"/>
    <mergeCell ref="D37:D38"/>
    <mergeCell ref="I14:M14"/>
    <mergeCell ref="L69:M69"/>
    <mergeCell ref="H26:M26"/>
    <mergeCell ref="I88:J88"/>
    <mergeCell ref="D39:D40"/>
    <mergeCell ref="I4:M4"/>
    <mergeCell ref="H12:I12"/>
    <mergeCell ref="D83:H83"/>
    <mergeCell ref="A22:A60"/>
    <mergeCell ref="J37:L37"/>
    <mergeCell ref="E8:G8"/>
    <mergeCell ref="J60:L60"/>
    <mergeCell ref="J11:M11"/>
    <mergeCell ref="H5:I5"/>
    <mergeCell ref="H25:M25"/>
    <mergeCell ref="E15:H17"/>
    <mergeCell ref="F86:H86"/>
    <mergeCell ref="L70:M70"/>
    <mergeCell ref="E10:G10"/>
    <mergeCell ref="K85:M85"/>
    <mergeCell ref="D71:M71"/>
    <mergeCell ref="A8:D8"/>
    <mergeCell ref="I15:M17"/>
    <mergeCell ref="J12:M12"/>
    <mergeCell ref="E9:G9"/>
    <mergeCell ref="J55:L55"/>
    <mergeCell ref="G34:I34"/>
    <mergeCell ref="M49:M52"/>
    <mergeCell ref="D29:G29"/>
    <mergeCell ref="E49:F52"/>
    <mergeCell ref="A10:D10"/>
    <mergeCell ref="G49:H52"/>
    <mergeCell ref="A109:M109"/>
    <mergeCell ref="J21:M21"/>
    <mergeCell ref="E39:F39"/>
    <mergeCell ref="B30:C40"/>
    <mergeCell ref="E11:G11"/>
    <mergeCell ref="H28:M28"/>
    <mergeCell ref="K46:L46"/>
    <mergeCell ref="J56:L56"/>
    <mergeCell ref="D107:M108"/>
    <mergeCell ref="I87:J87"/>
    <mergeCell ref="E46:F46"/>
    <mergeCell ref="I98:M105"/>
    <mergeCell ref="J58:L58"/>
    <mergeCell ref="H23:M23"/>
    <mergeCell ref="G40:I40"/>
    <mergeCell ref="E12:G12"/>
    <mergeCell ref="K87:M87"/>
    <mergeCell ref="D27:G27"/>
    <mergeCell ref="B71:C105"/>
    <mergeCell ref="D77:M81"/>
    <mergeCell ref="J57:L57"/>
    <mergeCell ref="D55:E55"/>
    <mergeCell ref="A12:D12"/>
    <mergeCell ref="D82:H82"/>
    <mergeCell ref="F84:H84"/>
    <mergeCell ref="J59:L59"/>
    <mergeCell ref="K88:M88"/>
    <mergeCell ref="J34:L34"/>
    <mergeCell ref="D28:G28"/>
    <mergeCell ref="A14:D14"/>
    <mergeCell ref="E43:F43"/>
    <mergeCell ref="D69:E69"/>
    <mergeCell ref="G43:H43"/>
    <mergeCell ref="J36:L36"/>
    <mergeCell ref="D25:G25"/>
    <mergeCell ref="D89:H97"/>
    <mergeCell ref="C18:M20"/>
    <mergeCell ref="J69:K69"/>
    <mergeCell ref="D23:G23"/>
    <mergeCell ref="E35:F35"/>
    <mergeCell ref="H6:I6"/>
    <mergeCell ref="I85:J85"/>
    <mergeCell ref="D57:E57"/>
    <mergeCell ref="H22:M22"/>
    <mergeCell ref="F69:I69"/>
    <mergeCell ref="G35:I35"/>
    <mergeCell ref="G53:H53"/>
    <mergeCell ref="I53:J53"/>
    <mergeCell ref="A15:D17"/>
    <mergeCell ref="G44:H45"/>
    <mergeCell ref="I44:J45"/>
    <mergeCell ref="D41:M42"/>
    <mergeCell ref="J70:K70"/>
    <mergeCell ref="A6:D6"/>
    <mergeCell ref="H7:I7"/>
    <mergeCell ref="F55:I55"/>
    <mergeCell ref="A18:B20"/>
    <mergeCell ref="J6:M6"/>
    <mergeCell ref="F88:H88"/>
    <mergeCell ref="D58:E58"/>
    <mergeCell ref="I48:J48"/>
    <mergeCell ref="I83:M83"/>
    <mergeCell ref="K48:L48"/>
    <mergeCell ref="D49:D53"/>
    <mergeCell ref="D76:M76"/>
    <mergeCell ref="H29:M29"/>
    <mergeCell ref="A4:H4"/>
    <mergeCell ref="J7:M7"/>
    <mergeCell ref="M44:M45"/>
    <mergeCell ref="E5:G5"/>
    <mergeCell ref="G39:I39"/>
    <mergeCell ref="E37:F37"/>
    <mergeCell ref="G46:H46"/>
    <mergeCell ref="H8:I8"/>
    <mergeCell ref="D35:D36"/>
    <mergeCell ref="D1:H3"/>
    <mergeCell ref="D59:E59"/>
    <mergeCell ref="D44:D45"/>
  </mergeCells>
  <dataValidations count="3">
    <dataValidation sqref="O1" showDropDown="0" showInputMessage="1" showErrorMessage="1" allowBlank="1" prompt="Idioma (Language)" type="list">
      <formula1>$N$1:$N$2</formula1>
    </dataValidation>
    <dataValidation sqref="O5" showDropDown="0" showInputMessage="1" showErrorMessage="1" allowBlank="1" type="list">
      <formula1>$P$5:$P$6</formula1>
    </dataValidation>
    <dataValidation sqref="D56:E60" showDropDown="0" showInputMessage="1" showErrorMessage="1" allowBlank="1" type="list">
      <formula1>$N$8:$N$10</formula1>
    </dataValidation>
  </dataValidations>
  <printOptions horizontalCentered="1"/>
  <pageMargins left="0.1968503937007874" right="0.1181102362204725" top="0.4330708661417323" bottom="0.2362204724409449" header="0.3543307086614174" footer="0.1574803149606299"/>
  <pageSetup orientation="portrait" paperSize="9" scale="74" fitToHeight="0"/>
  <headerFooter alignWithMargins="0">
    <oddHeader/>
    <oddFooter>&amp;LWFR-20997 - Rev. 3.0 - Nov.2018</oddFooter>
    <evenHeader/>
    <evenFooter/>
    <firstHeader/>
    <firstFooter/>
  </headerFooter>
  <rowBreaks count="1" manualBreakCount="1">
    <brk id="60" min="0" max="12" man="1"/>
  </rowBreaks>
</worksheet>
</file>

<file path=xl/worksheets/sheet2.xml><?xml version="1.0" encoding="utf-8"?>
<worksheet xmlns="http://schemas.openxmlformats.org/spreadsheetml/2006/main">
  <sheetPr codeName="Plan3">
    <outlinePr summaryBelow="1" summaryRight="1"/>
    <pageSetUpPr/>
  </sheetPr>
  <dimension ref="A1:V25"/>
  <sheetViews>
    <sheetView showGridLines="0" workbookViewId="0">
      <selection activeCell="J5" sqref="J5:K6"/>
    </sheetView>
  </sheetViews>
  <sheetFormatPr baseColWidth="8" defaultRowHeight="12.75"/>
  <cols>
    <col width="9.140625" customWidth="1" style="241" min="1" max="7"/>
    <col width="1.7109375" customWidth="1" style="241" min="8" max="8"/>
    <col width="9.140625" customWidth="1" style="241" min="9" max="16384"/>
  </cols>
  <sheetData>
    <row r="1" ht="45" customHeight="1" s="241">
      <c r="A1" s="239" t="n"/>
      <c r="D1" s="240">
        <f>IF('R8D'!C1=1,"Anexos","Attachment")</f>
        <v/>
      </c>
      <c r="M1" s="146">
        <f>IF('R8D'!C1=1,"Retornar para o Relatório 8D","Turn Back to 8D Report")</f>
        <v/>
      </c>
      <c r="P1" s="4" t="inlineStr">
        <is>
          <t>'Rel. 8D Port.'!A1</t>
        </is>
      </c>
      <c r="Q1" s="4" t="inlineStr">
        <is>
          <t>'Rel. 8D Port.'!A1</t>
        </is>
      </c>
      <c r="R1" s="4" t="inlineStr">
        <is>
          <t>'Rel. 8D Port.'!A1</t>
        </is>
      </c>
      <c r="S1" s="4" t="inlineStr">
        <is>
          <t>'Rel. 8D Port.'!A1</t>
        </is>
      </c>
      <c r="T1" s="4" t="inlineStr">
        <is>
          <t>'R8D'!A1</t>
        </is>
      </c>
      <c r="U1" s="4" t="inlineStr">
        <is>
          <t>'R8D'!A1</t>
        </is>
      </c>
      <c r="V1" s="4" t="inlineStr">
        <is>
          <t>'R8D'!A1</t>
        </is>
      </c>
    </row>
    <row r="2">
      <c r="A2" s="242" t="n"/>
      <c r="B2" s="242" t="n"/>
      <c r="C2" s="242" t="n"/>
      <c r="D2" s="242" t="n"/>
      <c r="E2" s="242" t="n"/>
      <c r="F2" s="242" t="n"/>
      <c r="G2" s="242" t="n"/>
      <c r="H2" s="242" t="n"/>
      <c r="I2" s="242" t="n"/>
      <c r="J2" s="242" t="n"/>
      <c r="K2" s="242" t="n"/>
      <c r="L2" s="242" t="n"/>
      <c r="M2" s="242" t="n"/>
      <c r="N2" s="242" t="n"/>
      <c r="O2" s="242" t="n"/>
    </row>
    <row r="3">
      <c r="A3" s="242" t="n"/>
      <c r="B3" s="242" t="n"/>
      <c r="C3" s="242" t="n"/>
      <c r="D3" s="242" t="n"/>
      <c r="E3" s="242" t="n"/>
      <c r="F3" s="242" t="n"/>
      <c r="G3" s="242" t="n"/>
      <c r="H3" s="242" t="n"/>
      <c r="I3" s="242" t="n"/>
      <c r="J3" s="242" t="n"/>
      <c r="K3" s="242" t="n"/>
      <c r="L3" s="242" t="n"/>
      <c r="M3" s="242" t="n"/>
      <c r="N3" s="242" t="n"/>
      <c r="O3" s="242" t="n"/>
    </row>
    <row r="4" ht="12" customHeight="1" s="241">
      <c r="A4" s="242" t="n"/>
      <c r="B4" s="242" t="n"/>
      <c r="C4" s="242" t="n"/>
      <c r="D4" s="242" t="n"/>
      <c r="E4" s="242" t="n"/>
      <c r="F4" s="242" t="n"/>
      <c r="G4" s="242" t="n"/>
      <c r="H4" s="242" t="n"/>
      <c r="I4" s="242" t="n"/>
      <c r="J4" s="242" t="n"/>
      <c r="K4" s="242" t="n"/>
      <c r="L4" s="242" t="n"/>
      <c r="M4" s="242" t="n"/>
      <c r="N4" s="242" t="n"/>
      <c r="O4" s="242" t="n"/>
    </row>
    <row r="5">
      <c r="A5" s="242" t="n"/>
      <c r="B5" s="242" t="n"/>
      <c r="C5" s="242" t="n"/>
      <c r="D5" s="242" t="n"/>
      <c r="E5" s="242" t="n"/>
      <c r="F5" s="242" t="n"/>
      <c r="G5" s="242" t="n"/>
      <c r="H5" s="242" t="n"/>
      <c r="I5" s="242" t="n"/>
      <c r="J5" s="242" t="n"/>
      <c r="K5" s="242" t="n"/>
      <c r="L5" s="242" t="n"/>
      <c r="M5" s="242" t="n"/>
      <c r="N5" s="242" t="n"/>
      <c r="O5" s="242" t="n"/>
    </row>
    <row r="6">
      <c r="A6" s="242" t="n"/>
      <c r="B6" s="242" t="n"/>
      <c r="C6" s="242" t="n"/>
      <c r="D6" s="242" t="n"/>
      <c r="E6" s="242" t="n"/>
      <c r="F6" s="242" t="n"/>
      <c r="G6" s="242" t="n"/>
      <c r="H6" s="242" t="n"/>
      <c r="I6" s="242" t="n"/>
      <c r="J6" s="242" t="n"/>
      <c r="K6" s="242" t="n"/>
      <c r="L6" s="242" t="n"/>
      <c r="M6" s="242" t="n"/>
      <c r="N6" s="242" t="n"/>
      <c r="O6" s="242" t="n"/>
    </row>
    <row r="7">
      <c r="A7" s="242" t="n"/>
      <c r="B7" s="242" t="n"/>
      <c r="C7" s="242" t="n"/>
      <c r="D7" s="242" t="n"/>
      <c r="E7" s="242" t="n"/>
      <c r="F7" s="242" t="n"/>
      <c r="G7" s="242" t="n"/>
      <c r="H7" s="242" t="n"/>
      <c r="I7" s="242" t="n"/>
      <c r="J7" s="242" t="n"/>
      <c r="K7" s="242" t="n"/>
      <c r="L7" s="242" t="n"/>
      <c r="M7" s="242" t="n"/>
      <c r="N7" s="242" t="n"/>
      <c r="O7" s="242" t="n"/>
    </row>
    <row r="8">
      <c r="A8" s="242" t="n"/>
      <c r="B8" s="242" t="n"/>
      <c r="C8" s="242" t="n"/>
      <c r="D8" s="242" t="n"/>
      <c r="E8" s="242" t="n"/>
      <c r="F8" s="242" t="n"/>
      <c r="G8" s="242" t="n"/>
      <c r="H8" s="242" t="n"/>
      <c r="I8" s="242" t="n"/>
      <c r="J8" s="242" t="n"/>
      <c r="K8" s="242" t="n"/>
      <c r="L8" s="242" t="n"/>
      <c r="M8" s="242" t="n"/>
      <c r="N8" s="242" t="n"/>
      <c r="O8" s="242" t="n"/>
    </row>
    <row r="9">
      <c r="A9" s="242" t="n"/>
      <c r="B9" s="242" t="n"/>
      <c r="C9" s="242" t="n"/>
      <c r="D9" s="242" t="n"/>
      <c r="E9" s="242" t="n"/>
      <c r="F9" s="242" t="n"/>
      <c r="G9" s="242" t="n"/>
      <c r="H9" s="242" t="n"/>
      <c r="I9" s="242" t="n"/>
      <c r="J9" s="242" t="n"/>
      <c r="K9" s="242" t="n"/>
      <c r="L9" s="242" t="n"/>
      <c r="M9" s="242" t="n"/>
      <c r="N9" s="242" t="n"/>
      <c r="O9" s="242" t="n"/>
    </row>
    <row r="10">
      <c r="A10" s="242" t="n"/>
      <c r="B10" s="242" t="n"/>
      <c r="C10" s="242" t="n"/>
      <c r="D10" s="242" t="n"/>
      <c r="E10" s="242" t="n"/>
      <c r="F10" s="242" t="n"/>
      <c r="G10" s="242" t="n"/>
      <c r="H10" s="242" t="n"/>
      <c r="I10" s="242" t="n"/>
      <c r="J10" s="242" t="n"/>
      <c r="K10" s="242" t="n"/>
      <c r="L10" s="242" t="n"/>
      <c r="M10" s="242" t="n"/>
      <c r="N10" s="242" t="n"/>
      <c r="O10" s="242" t="n"/>
    </row>
    <row r="11">
      <c r="A11" s="242" t="n"/>
      <c r="B11" s="242" t="n"/>
      <c r="C11" s="242" t="n"/>
      <c r="D11" s="242" t="n"/>
      <c r="E11" s="242" t="n"/>
      <c r="F11" s="242" t="n"/>
      <c r="G11" s="242" t="n"/>
      <c r="H11" s="242" t="n"/>
      <c r="I11" s="242" t="n"/>
      <c r="J11" s="242" t="n"/>
      <c r="K11" s="242" t="n"/>
      <c r="L11" s="242" t="n"/>
      <c r="M11" s="242" t="n"/>
      <c r="N11" s="242" t="n"/>
      <c r="O11" s="242" t="n"/>
    </row>
    <row r="12">
      <c r="A12" s="242" t="n"/>
      <c r="B12" s="242" t="n"/>
      <c r="C12" s="242" t="n"/>
      <c r="D12" s="242" t="n"/>
      <c r="E12" s="242" t="n"/>
      <c r="F12" s="242" t="n"/>
      <c r="G12" s="242" t="n"/>
      <c r="H12" s="242" t="n"/>
      <c r="I12" s="242" t="n"/>
      <c r="J12" s="242" t="n"/>
      <c r="K12" s="242" t="n"/>
      <c r="L12" s="242" t="n"/>
      <c r="M12" s="242" t="n"/>
      <c r="N12" s="242" t="n"/>
      <c r="O12" s="242" t="n"/>
    </row>
    <row r="13">
      <c r="A13" s="242" t="n"/>
      <c r="B13" s="242" t="n"/>
      <c r="C13" s="242" t="n"/>
      <c r="D13" s="242" t="n"/>
      <c r="E13" s="242" t="n"/>
      <c r="F13" s="242" t="n"/>
      <c r="G13" s="242" t="n"/>
      <c r="H13" s="242" t="n"/>
      <c r="I13" s="242" t="n"/>
      <c r="J13" s="242" t="n"/>
      <c r="K13" s="242" t="n"/>
      <c r="L13" s="242" t="n"/>
      <c r="M13" s="242" t="n"/>
      <c r="N13" s="242" t="n"/>
      <c r="O13" s="242" t="n"/>
    </row>
    <row r="14">
      <c r="A14" s="242" t="n"/>
      <c r="B14" s="242" t="n"/>
      <c r="C14" s="242" t="n"/>
      <c r="D14" s="242" t="n"/>
      <c r="E14" s="242" t="n"/>
      <c r="F14" s="242" t="n"/>
      <c r="G14" s="242" t="n"/>
      <c r="H14" s="242" t="n"/>
      <c r="I14" s="242" t="n"/>
      <c r="J14" s="242" t="n"/>
      <c r="K14" s="242" t="n"/>
      <c r="L14" s="242" t="n"/>
      <c r="M14" s="242" t="n"/>
      <c r="N14" s="242" t="n"/>
      <c r="O14" s="242" t="n"/>
    </row>
    <row r="15">
      <c r="A15" s="242" t="n"/>
      <c r="B15" s="242" t="n"/>
      <c r="C15" s="242" t="n"/>
      <c r="D15" s="242" t="n"/>
      <c r="E15" s="242" t="n"/>
      <c r="F15" s="242" t="n"/>
      <c r="G15" s="242" t="n"/>
      <c r="H15" s="242" t="n"/>
      <c r="I15" s="242" t="n"/>
      <c r="J15" s="242" t="n"/>
      <c r="K15" s="242" t="n"/>
      <c r="L15" s="242" t="n"/>
      <c r="M15" s="242" t="n"/>
      <c r="N15" s="242" t="n"/>
      <c r="O15" s="242" t="n"/>
    </row>
    <row r="16">
      <c r="A16" s="242" t="n"/>
      <c r="B16" s="242" t="n"/>
      <c r="C16" s="242" t="n"/>
      <c r="D16" s="242" t="n"/>
      <c r="E16" s="242" t="n"/>
      <c r="F16" s="242" t="n"/>
      <c r="G16" s="242" t="n"/>
      <c r="H16" s="242" t="n"/>
      <c r="I16" s="242" t="n"/>
      <c r="J16" s="242" t="n"/>
      <c r="K16" s="242" t="n"/>
      <c r="L16" s="242" t="n"/>
      <c r="M16" s="242" t="n"/>
      <c r="N16" s="242" t="n"/>
      <c r="O16" s="242" t="n"/>
    </row>
    <row r="17">
      <c r="A17" s="242" t="n"/>
      <c r="B17" s="242" t="n"/>
      <c r="C17" s="242" t="n"/>
      <c r="D17" s="242" t="n"/>
      <c r="E17" s="242" t="n"/>
      <c r="F17" s="242" t="n"/>
      <c r="G17" s="242" t="n"/>
      <c r="H17" s="242" t="n"/>
      <c r="I17" s="242" t="n"/>
      <c r="J17" s="242" t="n"/>
      <c r="K17" s="242" t="n"/>
      <c r="L17" s="242" t="n"/>
      <c r="M17" s="242" t="n"/>
      <c r="N17" s="242" t="n"/>
      <c r="O17" s="242" t="n"/>
    </row>
    <row r="18">
      <c r="A18" s="242" t="n"/>
      <c r="B18" s="242" t="n"/>
      <c r="C18" s="242" t="n"/>
      <c r="D18" s="242" t="n"/>
      <c r="E18" s="242" t="n"/>
      <c r="F18" s="242" t="n"/>
      <c r="G18" s="242" t="n"/>
      <c r="H18" s="242" t="n"/>
      <c r="I18" s="242" t="n"/>
      <c r="J18" s="242" t="n"/>
      <c r="K18" s="242" t="n"/>
      <c r="L18" s="242" t="n"/>
      <c r="M18" s="242" t="n"/>
      <c r="N18" s="242" t="n"/>
      <c r="O18" s="242" t="n"/>
    </row>
    <row r="19">
      <c r="A19" s="242" t="n"/>
      <c r="B19" s="242" t="n"/>
      <c r="C19" s="242" t="n"/>
      <c r="D19" s="242" t="n"/>
      <c r="E19" s="242" t="n"/>
      <c r="F19" s="242" t="n"/>
      <c r="G19" s="242" t="n"/>
      <c r="H19" s="242" t="n"/>
      <c r="I19" s="242" t="n"/>
      <c r="J19" s="242" t="n"/>
      <c r="K19" s="242" t="n"/>
      <c r="L19" s="242" t="n"/>
      <c r="M19" s="242" t="n"/>
      <c r="N19" s="242" t="n"/>
      <c r="O19" s="242" t="n"/>
    </row>
    <row r="20">
      <c r="A20" s="242" t="n"/>
      <c r="B20" s="242" t="n"/>
      <c r="C20" s="242" t="n"/>
      <c r="D20" s="242" t="n"/>
      <c r="E20" s="242" t="n"/>
      <c r="F20" s="242" t="n"/>
      <c r="G20" s="242" t="n"/>
      <c r="H20" s="242" t="n"/>
      <c r="I20" s="242" t="n"/>
      <c r="J20" s="242" t="n"/>
      <c r="K20" s="242" t="n"/>
      <c r="L20" s="242" t="n"/>
      <c r="M20" s="242" t="n"/>
      <c r="N20" s="242" t="n"/>
      <c r="O20" s="242" t="n"/>
    </row>
    <row r="21">
      <c r="A21" s="242" t="n"/>
      <c r="B21" s="242" t="n"/>
      <c r="C21" s="242" t="n"/>
      <c r="D21" s="242" t="n"/>
      <c r="E21" s="242" t="n"/>
      <c r="F21" s="242" t="n"/>
      <c r="G21" s="242" t="n"/>
      <c r="H21" s="242" t="n"/>
      <c r="I21" s="242" t="n"/>
      <c r="J21" s="242" t="n"/>
      <c r="K21" s="242" t="n"/>
      <c r="L21" s="242" t="n"/>
      <c r="M21" s="242" t="n"/>
      <c r="N21" s="242" t="n"/>
      <c r="O21" s="242" t="n"/>
    </row>
    <row r="22">
      <c r="A22" s="242" t="n"/>
      <c r="B22" s="242" t="n"/>
      <c r="C22" s="242" t="n"/>
      <c r="D22" s="242" t="n"/>
      <c r="E22" s="242" t="n"/>
      <c r="F22" s="242" t="n"/>
      <c r="G22" s="242" t="n"/>
      <c r="H22" s="242" t="n"/>
      <c r="I22" s="242" t="n"/>
      <c r="J22" s="242" t="n"/>
      <c r="K22" s="242" t="n"/>
      <c r="L22" s="242" t="n"/>
      <c r="M22" s="242" t="n"/>
      <c r="N22" s="242" t="n"/>
      <c r="O22" s="242" t="n"/>
    </row>
    <row r="23">
      <c r="A23" s="242" t="n"/>
      <c r="B23" s="242" t="n"/>
      <c r="C23" s="242" t="n"/>
      <c r="D23" s="242" t="n"/>
      <c r="E23" s="242" t="n"/>
      <c r="F23" s="242" t="n"/>
      <c r="G23" s="242" t="n"/>
      <c r="H23" s="242" t="n"/>
      <c r="I23" s="242" t="n"/>
      <c r="J23" s="242" t="n"/>
      <c r="K23" s="242" t="n"/>
      <c r="L23" s="242" t="n"/>
      <c r="M23" s="242" t="n"/>
      <c r="N23" s="242" t="n"/>
      <c r="O23" s="242" t="n"/>
    </row>
    <row r="24">
      <c r="A24" s="242" t="n"/>
      <c r="B24" s="242" t="n"/>
      <c r="C24" s="242" t="n"/>
      <c r="D24" s="242" t="n"/>
      <c r="E24" s="242" t="n"/>
      <c r="F24" s="242" t="n"/>
      <c r="G24" s="242" t="n"/>
      <c r="H24" s="242" t="n"/>
      <c r="I24" s="242" t="n"/>
      <c r="J24" s="242" t="n"/>
      <c r="K24" s="242" t="n"/>
      <c r="L24" s="242" t="n"/>
      <c r="M24" s="242" t="n"/>
      <c r="N24" s="242" t="n"/>
      <c r="O24" s="242" t="n"/>
    </row>
    <row r="25" ht="13.5" customHeight="1" s="241" thickBot="1">
      <c r="A25" s="242" t="n"/>
      <c r="B25" s="242" t="n"/>
      <c r="C25" s="242" t="n"/>
      <c r="D25" s="242" t="n"/>
      <c r="E25" s="242" t="n"/>
      <c r="F25" s="242" t="n"/>
      <c r="G25" s="242" t="n"/>
      <c r="H25" s="242" t="n"/>
      <c r="I25" s="242" t="n"/>
      <c r="J25" s="242" t="n"/>
      <c r="K25" s="242" t="n"/>
      <c r="L25" s="242" t="n"/>
      <c r="M25" s="242" t="n"/>
      <c r="N25" s="242" t="n"/>
      <c r="O25" s="242" t="n"/>
    </row>
  </sheetData>
  <mergeCells count="3">
    <mergeCell ref="A1:C1"/>
    <mergeCell ref="M1:O1"/>
    <mergeCell ref="D1:L1"/>
  </mergeCells>
  <hyperlinks>
    <hyperlink ref="M1" location="'R8D'!L24" display="'R8D'!L24"/>
    <hyperlink ref="P1" location="'R8D'!A1" display="'R8D'!A1"/>
    <hyperlink ref="Q1" location="'R8D'!A1" display="'R8D'!A1"/>
    <hyperlink ref="R1" location="'R8D'!A1" display="'R8D'!A1"/>
    <hyperlink ref="S1" location="'R8D'!A1" display="'R8D'!A1"/>
    <hyperlink ref="T1" location="'R8D'!A1" display="'R8D'!A1"/>
    <hyperlink ref="U1" location="'R8D'!A1" display="'R8D'!A1"/>
    <hyperlink ref="V1" location="'R8D'!A1" display="'R8D'!A1"/>
  </hyperlinks>
  <pageMargins left="0.66" right="0.787401575" top="0.48" bottom="0.43" header="0.18" footer="0.17"/>
  <pageSetup orientation="landscape" paperSize="9" scale="98"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WMORENO</dc:creator>
  <dcterms:created xsi:type="dcterms:W3CDTF">2006-11-14T13:37:15Z</dcterms:created>
  <dcterms:modified xsi:type="dcterms:W3CDTF">2026-06-30T22:21:49Z</dcterms:modified>
  <cp:lastModifiedBy>Antonio Marcos Floriani</cp:lastModifiedBy>
  <cp:lastPrinted>2018-11-28T16:34:08Z</cp:lastPrinted>
</cp:coreProperties>
</file>