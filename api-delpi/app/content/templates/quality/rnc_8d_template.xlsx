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EstaPasta_de_trabalho"/>
  <mc:AlternateContent xmlns:mc="http://schemas.openxmlformats.org/markup-compatibility/2006">
    <mc:Choice Requires="x15">
      <x15ac:absPath xmlns:x15ac="http://schemas.microsoft.com/office/spreadsheetml/2010/11/ac" url="C:\Users\rodrigo.josue\AppData\Local\Microsoft\Windows\INetCache\Content.Outlook\WT0XKDM2\"/>
    </mc:Choice>
  </mc:AlternateContent>
  <xr:revisionPtr revIDLastSave="0" documentId="13_ncr:1_{8615FFDD-44F8-4840-8833-72741A0C2E00}" xr6:coauthVersionLast="47" xr6:coauthVersionMax="47" xr10:uidLastSave="{00000000-0000-0000-0000-000000000000}"/>
  <bookViews>
    <workbookView xWindow="-120" yWindow="-120" windowWidth="29040" windowHeight="15840" xr2:uid="{00000000-000D-0000-FFFF-FFFF00000000}"/>
  </bookViews>
  <sheets>
    <sheet name="R8D" sheetId="6" r:id="rId1"/>
    <sheet name="Anexos(Evidencias)" sheetId="2" r:id="rId2"/>
  </sheets>
  <definedNames>
    <definedName name="_xlnm.Print_Area" localSheetId="0">'R8D'!$A$1:$M$110</definedName>
    <definedName name="_xlnm.Print_Titles" localSheetId="0">'R8D'!$1:$12</definedName>
  </definedNames>
  <calcPr calcId="191029"/>
  <fileRecoveryPr autoRecover="0"/>
</workbook>
</file>

<file path=xl/calcChain.xml><?xml version="1.0" encoding="utf-8"?>
<calcChain xmlns="http://schemas.openxmlformats.org/spreadsheetml/2006/main">
  <c r="C1" i="6" l="1"/>
  <c r="J34" i="6" s="1"/>
  <c r="J55" i="6" s="1"/>
  <c r="A8" i="6" l="1"/>
  <c r="A18" i="6"/>
  <c r="D1" i="2"/>
  <c r="B107" i="6"/>
  <c r="F85" i="6"/>
  <c r="D77" i="6"/>
  <c r="J70" i="6"/>
  <c r="B62" i="6"/>
  <c r="D44" i="6"/>
  <c r="D39" i="6"/>
  <c r="G34" i="6"/>
  <c r="F55" i="6" s="1"/>
  <c r="D33" i="6"/>
  <c r="D24" i="6"/>
  <c r="A22" i="6"/>
  <c r="I14" i="6"/>
  <c r="H12" i="6"/>
  <c r="H10" i="6"/>
  <c r="A9" i="6"/>
  <c r="A7" i="6"/>
  <c r="A5" i="6"/>
  <c r="M1" i="2"/>
  <c r="A107" i="6"/>
  <c r="D90" i="6"/>
  <c r="D85" i="6"/>
  <c r="D72" i="6"/>
  <c r="F70" i="6"/>
  <c r="A62" i="6"/>
  <c r="D55" i="6"/>
  <c r="D49" i="6"/>
  <c r="E43" i="6"/>
  <c r="D35" i="6"/>
  <c r="E34" i="6"/>
  <c r="D30" i="6"/>
  <c r="H22" i="6"/>
  <c r="E21" i="6"/>
  <c r="E14" i="6"/>
  <c r="A12" i="6"/>
  <c r="A10" i="6"/>
  <c r="N8" i="6"/>
  <c r="H6" i="6"/>
  <c r="A4" i="6"/>
  <c r="J1" i="6"/>
  <c r="D108" i="6"/>
  <c r="K85" i="6"/>
  <c r="I83" i="6"/>
  <c r="B72" i="6"/>
  <c r="D70" i="6"/>
  <c r="D54" i="6"/>
  <c r="D41" i="6"/>
  <c r="M34" i="6"/>
  <c r="M55" i="6" s="1"/>
  <c r="D34" i="6"/>
  <c r="B30" i="6"/>
  <c r="D22" i="6"/>
  <c r="A21" i="6"/>
  <c r="A14" i="6"/>
  <c r="H11" i="6"/>
  <c r="N9" i="6"/>
  <c r="H8" i="6"/>
  <c r="A6" i="6"/>
  <c r="J3" i="6"/>
  <c r="D1" i="6"/>
  <c r="D107" i="6"/>
  <c r="I85" i="6"/>
  <c r="D83" i="6"/>
  <c r="L70" i="6"/>
  <c r="D62" i="6"/>
  <c r="H9" i="6"/>
  <c r="B22" i="6"/>
  <c r="B41" i="6"/>
  <c r="J2" i="6"/>
  <c r="A11" i="6"/>
  <c r="H24" i="6"/>
  <c r="H5" i="6"/>
  <c r="A13" i="6"/>
  <c r="J33" i="6"/>
  <c r="E46" i="6"/>
  <c r="B54" i="6"/>
  <c r="E53" i="6" l="1"/>
  <c r="G53" i="6" s="1"/>
  <c r="I53" i="6" s="1"/>
  <c r="K53" i="6" s="1"/>
  <c r="M53" i="6" s="1"/>
  <c r="G46" i="6"/>
  <c r="I46" i="6" s="1"/>
  <c r="K46" i="6" s="1"/>
  <c r="M46" i="6" s="1"/>
  <c r="I90" i="6"/>
  <c r="I99" i="6" s="1"/>
  <c r="D99" i="6"/>
  <c r="G43" i="6"/>
  <c r="I43" i="6" s="1"/>
  <c r="K43" i="6" s="1"/>
  <c r="M43" i="6" s="1"/>
  <c r="E48" i="6"/>
  <c r="G48" i="6" s="1"/>
  <c r="I48" i="6" s="1"/>
  <c r="K48" i="6" s="1"/>
  <c r="M48" i="6" s="1"/>
</calcChain>
</file>

<file path=xl/sharedStrings.xml><?xml version="1.0" encoding="utf-8"?>
<sst xmlns="http://schemas.openxmlformats.org/spreadsheetml/2006/main" count="66" uniqueCount="58">
  <si>
    <t>Fax</t>
  </si>
  <si>
    <t>Português</t>
  </si>
  <si>
    <t>English</t>
  </si>
  <si>
    <t>Occurrence</t>
  </si>
  <si>
    <t>Detection</t>
  </si>
  <si>
    <t>WEG</t>
  </si>
  <si>
    <t xml:space="preserve">WFR-20997_PT_EN - Rev.05 02/2023 </t>
  </si>
  <si>
    <t>E-mail</t>
  </si>
  <si>
    <t>Selecionar 
idioma</t>
  </si>
  <si>
    <t>Delpi</t>
  </si>
  <si>
    <t>12243 - Delpi Componentes Ltda EPP</t>
  </si>
  <si>
    <t>Rodrigo</t>
  </si>
  <si>
    <t>47 33705502 R-201</t>
  </si>
  <si>
    <t>Dimensional / Especificações / Componentes</t>
  </si>
  <si>
    <t>Conforme Padrão (OK/NOK)</t>
  </si>
  <si>
    <t>Rodrigo J. Cozer</t>
  </si>
  <si>
    <t>Qualidade</t>
  </si>
  <si>
    <t>Todos</t>
  </si>
  <si>
    <t>Revisar material em estoque</t>
  </si>
  <si>
    <t>Ocorrência</t>
  </si>
  <si>
    <t>Detecção</t>
  </si>
  <si>
    <t>Avaliar as proximas entregas, pedidos em
 um prazo de 60 dias para verificar a eficácia das ações</t>
  </si>
  <si>
    <t>Rejeitado</t>
  </si>
  <si>
    <t>Max</t>
  </si>
  <si>
    <t>14297268 - CHICOTE 3 SILICONE 150mm</t>
  </si>
  <si>
    <t>jeann@weg.net</t>
  </si>
  <si>
    <t>Jean Carlo Noernberg</t>
  </si>
  <si>
    <t>Não foi percebido a falha da impressão quando foi impresso</t>
  </si>
  <si>
    <t>Processo produtivo não evidenciou a falha de impressão</t>
  </si>
  <si>
    <t xml:space="preserve">Arquivo draft enviado pelo fornecedor estava com esquema de ligação muito proximo das letras/numeros </t>
  </si>
  <si>
    <t>Foi evidenciado que a impressão não estava ok pois o cabeçote da impressora estava comprometido</t>
  </si>
  <si>
    <t>Processo produtivo e inspeção final não identificaram a não conformidade</t>
  </si>
  <si>
    <t>Notificar processo responsável pela impressão para conscientização e correção do problema</t>
  </si>
  <si>
    <t>Rodrigo / Silvana</t>
  </si>
  <si>
    <t xml:space="preserve">Solicitar ao setor de engenharia a revisão do arquivo draft, afastando o esquema de ligação das letras e numeros, para uma boa impressão e para não gerar falhas </t>
  </si>
  <si>
    <t>Rodrigo / Willian</t>
  </si>
  <si>
    <t xml:space="preserve">Impressora argox com problema de impressão, com problema no cabeçote </t>
  </si>
  <si>
    <t>Até a manutenção ser realizada definir outra impressora para impressão da etiquetas</t>
  </si>
  <si>
    <t>Rodrigo / Wilson</t>
  </si>
  <si>
    <t>Até a manutenção ser realizada na impressora com problema de cabeçote,  definir outra para impressão das etiquetas</t>
  </si>
  <si>
    <t>Incluir etiqueta de esquema de ligação como item crítico e aumentar amostragem na inspeção final</t>
  </si>
  <si>
    <t xml:space="preserve">Revisar arquivo draft, no arquivo de impresão </t>
  </si>
  <si>
    <t>Com desenho da etiqueta correto, para inspeção no processo e inspeção final</t>
  </si>
  <si>
    <t>sim, com a correção do esquema de ligação</t>
  </si>
  <si>
    <t>Wilson</t>
  </si>
  <si>
    <t>0,100 UN</t>
  </si>
  <si>
    <t>0,100 mil</t>
  </si>
  <si>
    <t>5500044658 / 09770</t>
  </si>
  <si>
    <t>000092387-1</t>
  </si>
  <si>
    <t>Especificado: etiiqueta impressão conforme especificado
Verificado: etiqueta impressão com falhas</t>
  </si>
  <si>
    <t>Rodrigo / Daiane</t>
  </si>
  <si>
    <t>Reclamação recebida em 01/08/2024, por isso as tratativas com datas do mês 08</t>
  </si>
  <si>
    <t>Daiane</t>
  </si>
  <si>
    <t>Produção</t>
  </si>
  <si>
    <t>Brayann</t>
  </si>
  <si>
    <t>Willian</t>
  </si>
  <si>
    <t>Almoxarifado</t>
  </si>
  <si>
    <t>Engenharia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</si>
</sst>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name val="Arial"/>
      <family val="2"/>
    </font>
    <font>
      <b/>
      <sz val="10"/>
      <name val="Arial"/>
      <family val="2"/>
    </font>
    <font>
      <u/>
      <sz val="10"/>
      <color indexed="12"/>
      <name val="Arial"/>
      <family val="2"/>
    </font>
    <font>
      <b/>
      <sz val="14"/>
      <name val="Arial"/>
      <family val="2"/>
    </font>
    <font>
      <sz val="8"/>
      <name val="Arial"/>
      <family val="2"/>
    </font>
    <font>
      <u/>
      <sz val="10"/>
      <color indexed="8"/>
      <name val="Arial"/>
      <family val="2"/>
    </font>
    <font>
      <u/>
      <sz val="10"/>
      <name val="Arial"/>
      <family val="2"/>
    </font>
    <font>
      <b/>
      <u/>
      <sz val="10"/>
      <name val="Arial"/>
      <family val="2"/>
    </font>
    <font>
      <sz val="10"/>
      <color theme="0"/>
      <name val="Arial"/>
      <family val="2"/>
    </font>
    <font>
      <b/>
      <sz val="10"/>
      <color theme="3" tint="0.59996337778862885"/>
      <name val="Arial"/>
      <family val="2"/>
    </font>
    <font>
      <sz val="10"/>
      <name val="Arial"/>
      <family val="2"/>
    </font>
  </fonts>
  <fills count="4">
    <fill>
      <patternFill patternType="none"/>
    </fill>
    <fill>
      <patternFill patternType="gray125"/>
    </fill>
    <fill>
      <patternFill patternType="solid">
        <fgColor indexed="9"/>
        <bgColor indexed="64"/>
      </patternFill>
    </fill>
    <fill>
      <patternFill patternType="solid">
        <fgColor theme="3" tint="0.59996337778862885"/>
        <bgColor indexed="64"/>
      </patternFill>
    </fill>
  </fills>
  <borders count="80">
    <border>
      <left/>
      <right/>
      <top/>
      <bottom/>
      <diagonal/>
    </border>
    <border>
      <left style="thin">
        <color auto="1"/>
      </left>
      <right/>
      <top/>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medium">
        <color auto="1"/>
      </right>
      <top style="medium">
        <color auto="1"/>
      </top>
      <bottom/>
      <diagonal/>
    </border>
    <border>
      <left/>
      <right style="medium">
        <color auto="1"/>
      </right>
      <top/>
      <bottom style="medium">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thin">
        <color auto="1"/>
      </right>
      <top/>
      <bottom/>
      <diagonal/>
    </border>
    <border>
      <left/>
      <right/>
      <top style="medium">
        <color auto="1"/>
      </top>
      <bottom style="thin">
        <color auto="1"/>
      </bottom>
      <diagonal/>
    </border>
    <border>
      <left/>
      <right/>
      <top style="medium">
        <color auto="1"/>
      </top>
      <bottom/>
      <diagonal/>
    </border>
    <border>
      <left/>
      <right/>
      <top/>
      <bottom style="medium">
        <color auto="1"/>
      </bottom>
      <diagonal/>
    </border>
    <border>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diagonal/>
    </border>
    <border>
      <left style="thin">
        <color auto="1"/>
      </left>
      <right/>
      <top style="thin">
        <color indexed="22"/>
      </top>
      <bottom style="thin">
        <color indexed="22"/>
      </bottom>
      <diagonal/>
    </border>
    <border>
      <left/>
      <right/>
      <top style="thin">
        <color indexed="22"/>
      </top>
      <bottom style="thin">
        <color indexed="22"/>
      </bottom>
      <diagonal/>
    </border>
    <border>
      <left/>
      <right style="thin">
        <color auto="1"/>
      </right>
      <top style="thin">
        <color indexed="22"/>
      </top>
      <bottom style="thin">
        <color indexed="22"/>
      </bottom>
      <diagonal/>
    </border>
    <border>
      <left/>
      <right/>
      <top style="thin">
        <color indexed="22"/>
      </top>
      <bottom style="medium">
        <color auto="1"/>
      </bottom>
      <diagonal/>
    </border>
    <border>
      <left style="thin">
        <color auto="1"/>
      </left>
      <right/>
      <top style="thin">
        <color indexed="22"/>
      </top>
      <bottom style="medium">
        <color auto="1"/>
      </bottom>
      <diagonal/>
    </border>
    <border>
      <left style="thin">
        <color auto="1"/>
      </left>
      <right/>
      <top style="thin">
        <color auto="1"/>
      </top>
      <bottom style="thin">
        <color indexed="22"/>
      </bottom>
      <diagonal/>
    </border>
    <border>
      <left/>
      <right/>
      <top style="thin">
        <color auto="1"/>
      </top>
      <bottom style="thin">
        <color indexed="22"/>
      </bottom>
      <diagonal/>
    </border>
    <border>
      <left style="thin">
        <color auto="1"/>
      </left>
      <right/>
      <top/>
      <bottom style="thin">
        <color indexed="22"/>
      </bottom>
      <diagonal/>
    </border>
    <border>
      <left/>
      <right/>
      <top/>
      <bottom style="thin">
        <color indexed="22"/>
      </bottom>
      <diagonal/>
    </border>
    <border>
      <left/>
      <right style="thin">
        <color auto="1"/>
      </right>
      <top/>
      <bottom style="thin">
        <color indexed="22"/>
      </bottom>
      <diagonal/>
    </border>
    <border>
      <left/>
      <right style="thin">
        <color auto="1"/>
      </right>
      <top style="thin">
        <color indexed="22"/>
      </top>
      <bottom style="medium">
        <color auto="1"/>
      </bottom>
      <diagonal/>
    </border>
    <border>
      <left/>
      <right style="thin">
        <color auto="1"/>
      </right>
      <top/>
      <bottom style="thin">
        <color auto="1"/>
      </bottom>
      <diagonal/>
    </border>
    <border>
      <left/>
      <right style="thin">
        <color auto="1"/>
      </right>
      <top style="medium">
        <color auto="1"/>
      </top>
      <bottom/>
      <diagonal/>
    </border>
    <border>
      <left style="hair">
        <color auto="1"/>
      </left>
      <right style="hair">
        <color auto="1"/>
      </right>
      <top style="hair">
        <color auto="1"/>
      </top>
      <bottom style="thin">
        <color auto="1"/>
      </bottom>
      <diagonal/>
    </border>
    <border>
      <left style="hair">
        <color auto="1"/>
      </left>
      <right style="hair">
        <color auto="1"/>
      </right>
      <top style="thin">
        <color auto="1"/>
      </top>
      <bottom style="hair">
        <color auto="1"/>
      </bottom>
      <diagonal/>
    </border>
    <border>
      <left style="thin">
        <color auto="1"/>
      </left>
      <right/>
      <top style="medium">
        <color auto="1"/>
      </top>
      <bottom style="thin">
        <color auto="1"/>
      </bottom>
      <diagonal/>
    </border>
    <border>
      <left style="hair">
        <color auto="1"/>
      </left>
      <right style="hair">
        <color auto="1"/>
      </right>
      <top style="thin">
        <color auto="1"/>
      </top>
      <bottom style="thin">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style="thin">
        <color auto="1"/>
      </left>
      <right/>
      <top style="medium">
        <color auto="1"/>
      </top>
      <bottom/>
      <diagonal/>
    </border>
    <border>
      <left style="thin">
        <color auto="1"/>
      </left>
      <right style="thin">
        <color auto="1"/>
      </right>
      <top/>
      <bottom style="thin">
        <color auto="1"/>
      </bottom>
      <diagonal/>
    </border>
    <border>
      <left style="thin">
        <color auto="1"/>
      </left>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bottom/>
      <diagonal/>
    </border>
    <border>
      <left/>
      <right style="medium">
        <color auto="1"/>
      </right>
      <top style="thin">
        <color auto="1"/>
      </top>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style="medium">
        <color auto="1"/>
      </right>
      <top style="thin">
        <color auto="1"/>
      </top>
      <bottom style="thin">
        <color indexed="22"/>
      </bottom>
      <diagonal/>
    </border>
    <border>
      <left/>
      <right style="medium">
        <color auto="1"/>
      </right>
      <top/>
      <bottom style="thin">
        <color indexed="22"/>
      </bottom>
      <diagonal/>
    </border>
    <border>
      <left/>
      <right style="medium">
        <color auto="1"/>
      </right>
      <top style="thin">
        <color indexed="22"/>
      </top>
      <bottom style="thin">
        <color indexed="22"/>
      </bottom>
      <diagonal/>
    </border>
    <border>
      <left/>
      <right style="medium">
        <color auto="1"/>
      </right>
      <top style="thin">
        <color indexed="22"/>
      </top>
      <bottom style="medium">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right style="medium">
        <color auto="1"/>
      </right>
      <top/>
      <bottom/>
      <diagonal/>
    </border>
    <border>
      <left style="medium">
        <color auto="1"/>
      </left>
      <right/>
      <top/>
      <bottom style="thin">
        <color auto="1"/>
      </bottom>
      <diagonal/>
    </border>
    <border>
      <left/>
      <right style="medium">
        <color auto="1"/>
      </right>
      <top/>
      <bottom style="thin">
        <color auto="1"/>
      </bottom>
      <diagonal/>
    </border>
    <border>
      <left/>
      <right style="medium">
        <color auto="1"/>
      </right>
      <top style="thin">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hair">
        <color auto="1"/>
      </left>
      <right style="medium">
        <color auto="1"/>
      </right>
      <top style="hair">
        <color auto="1"/>
      </top>
      <bottom style="thin">
        <color auto="1"/>
      </bottom>
      <diagonal/>
    </border>
    <border>
      <left style="hair">
        <color auto="1"/>
      </left>
      <right style="medium">
        <color auto="1"/>
      </right>
      <top style="thin">
        <color auto="1"/>
      </top>
      <bottom style="hair">
        <color auto="1"/>
      </bottom>
      <diagonal/>
    </border>
    <border>
      <left style="hair">
        <color auto="1"/>
      </left>
      <right style="medium">
        <color auto="1"/>
      </right>
      <top style="thin">
        <color auto="1"/>
      </top>
      <bottom style="thin">
        <color auto="1"/>
      </bottom>
      <diagonal/>
    </border>
    <border>
      <left/>
      <right style="medium">
        <color auto="1"/>
      </right>
      <top style="medium">
        <color auto="1"/>
      </top>
      <bottom style="thin">
        <color auto="1"/>
      </bottom>
      <diagonal/>
    </border>
    <border>
      <left style="thin">
        <color auto="1"/>
      </left>
      <right style="hair">
        <color auto="1"/>
      </right>
      <top/>
      <bottom/>
      <diagonal/>
    </border>
  </borders>
  <cellStyleXfs count="2">
    <xf numFmtId="0" fontId="0" fillId="0" borderId="0"/>
    <xf numFmtId="0" fontId="2" fillId="0" borderId="0" applyNumberFormat="0" applyFill="0" applyBorder="0">
      <protection locked="0"/>
    </xf>
  </cellStyleXfs>
  <cellXfs count="292">
    <xf numFmtId="0" fontId="0" fillId="0" borderId="0" xfId="0"/>
    <xf numFmtId="0" fontId="5" fillId="0" borderId="0" xfId="1" applyFont="1" applyAlignment="1" applyProtection="1">
      <alignment horizontal="center"/>
    </xf>
    <xf numFmtId="0" fontId="0" fillId="0" borderId="0" xfId="0" applyAlignment="1">
      <alignment vertical="top" wrapText="1"/>
    </xf>
    <xf numFmtId="0" fontId="1" fillId="2" borderId="0" xfId="0" applyFont="1" applyFill="1" applyAlignment="1" applyProtection="1">
      <alignment vertical="center" wrapText="1"/>
      <protection locked="0"/>
    </xf>
    <xf numFmtId="0" fontId="0" fillId="2" borderId="0" xfId="0" applyFill="1" applyAlignment="1" applyProtection="1">
      <alignment vertical="center"/>
      <protection locked="0"/>
    </xf>
    <xf numFmtId="0" fontId="0" fillId="0" borderId="0" xfId="0" applyAlignment="1" applyProtection="1">
      <alignment vertical="center"/>
      <protection locked="0"/>
    </xf>
    <xf numFmtId="0" fontId="7" fillId="0" borderId="1" xfId="1" applyFont="1" applyFill="1" applyBorder="1" applyAlignment="1" applyProtection="1">
      <alignment vertical="center"/>
    </xf>
    <xf numFmtId="0" fontId="7" fillId="0" borderId="0" xfId="1" applyFont="1" applyFill="1" applyBorder="1" applyAlignment="1" applyProtection="1">
      <alignment horizontal="center" vertical="center"/>
    </xf>
    <xf numFmtId="0" fontId="7" fillId="0" borderId="0" xfId="1" applyFont="1" applyFill="1" applyBorder="1" applyAlignment="1" applyProtection="1">
      <alignment vertical="center"/>
    </xf>
    <xf numFmtId="0" fontId="1" fillId="0" borderId="2" xfId="1" applyFont="1" applyFill="1" applyBorder="1" applyAlignment="1">
      <alignment vertical="center"/>
      <protection locked="0"/>
    </xf>
    <xf numFmtId="0" fontId="1" fillId="0" borderId="4" xfId="1" applyFont="1" applyFill="1" applyBorder="1" applyAlignment="1">
      <alignment vertical="center"/>
      <protection locked="0"/>
    </xf>
    <xf numFmtId="0" fontId="1" fillId="3" borderId="5" xfId="1" applyFont="1" applyFill="1" applyBorder="1" applyAlignment="1">
      <alignment horizontal="center" vertical="center" wrapText="1"/>
      <protection locked="0"/>
    </xf>
    <xf numFmtId="0" fontId="0" fillId="3" borderId="5" xfId="1" applyFont="1" applyFill="1" applyBorder="1" applyAlignment="1" applyProtection="1">
      <alignment horizontal="center" vertical="center" wrapText="1"/>
    </xf>
    <xf numFmtId="0" fontId="6" fillId="3" borderId="0" xfId="1" applyFont="1" applyFill="1" applyBorder="1" applyAlignment="1">
      <alignment vertical="center" wrapText="1"/>
      <protection locked="0"/>
    </xf>
    <xf numFmtId="0" fontId="1" fillId="3" borderId="6" xfId="1" applyFont="1" applyFill="1" applyBorder="1" applyAlignment="1">
      <alignment horizontal="center" vertical="center"/>
      <protection locked="0"/>
    </xf>
    <xf numFmtId="0" fontId="8" fillId="2" borderId="0" xfId="0" applyFont="1" applyFill="1" applyAlignment="1" applyProtection="1">
      <alignment vertical="center"/>
      <protection locked="0"/>
    </xf>
    <xf numFmtId="0" fontId="1" fillId="0" borderId="6" xfId="1" applyFont="1" applyFill="1" applyBorder="1" applyAlignment="1" applyProtection="1">
      <alignment horizontal="center" vertical="center"/>
    </xf>
    <xf numFmtId="0" fontId="1" fillId="3" borderId="53" xfId="1" applyFont="1" applyFill="1" applyBorder="1" applyAlignment="1">
      <alignment horizontal="center" vertical="center" wrapText="1"/>
      <protection locked="0"/>
    </xf>
    <xf numFmtId="0" fontId="0" fillId="3" borderId="53" xfId="1" applyFont="1" applyFill="1" applyBorder="1" applyAlignment="1" applyProtection="1">
      <alignment horizontal="center" vertical="center" wrapText="1"/>
    </xf>
    <xf numFmtId="0" fontId="1" fillId="0" borderId="59" xfId="1" applyFont="1" applyFill="1" applyBorder="1" applyAlignment="1" applyProtection="1">
      <alignment horizontal="center" vertical="center"/>
    </xf>
    <xf numFmtId="0" fontId="1" fillId="0" borderId="60" xfId="1" applyFont="1" applyFill="1" applyBorder="1" applyAlignment="1">
      <alignment vertical="center"/>
      <protection locked="0"/>
    </xf>
    <xf numFmtId="0" fontId="1" fillId="0" borderId="73" xfId="1" applyFont="1" applyFill="1" applyBorder="1" applyAlignment="1" applyProtection="1">
      <alignment horizontal="center" vertical="center"/>
    </xf>
    <xf numFmtId="0" fontId="0" fillId="0" borderId="72" xfId="1" applyFont="1" applyFill="1" applyBorder="1" applyAlignment="1" applyProtection="1">
      <alignment vertical="center"/>
    </xf>
    <xf numFmtId="0" fontId="0" fillId="0" borderId="74" xfId="1" applyFont="1" applyFill="1" applyBorder="1" applyAlignment="1" applyProtection="1">
      <alignment vertical="center"/>
    </xf>
    <xf numFmtId="0" fontId="0" fillId="0" borderId="67" xfId="1" applyFont="1" applyFill="1" applyBorder="1" applyAlignment="1" applyProtection="1">
      <alignment horizontal="center" vertical="center"/>
    </xf>
    <xf numFmtId="0" fontId="7" fillId="0" borderId="67" xfId="1" applyFont="1" applyFill="1" applyBorder="1" applyAlignment="1" applyProtection="1">
      <alignment horizontal="center" vertical="center"/>
    </xf>
    <xf numFmtId="0" fontId="0" fillId="0" borderId="8" xfId="1" applyFont="1" applyFill="1" applyBorder="1" applyAlignment="1" applyProtection="1">
      <alignment horizontal="center" vertical="center"/>
    </xf>
    <xf numFmtId="0" fontId="0" fillId="0" borderId="70" xfId="1" applyFont="1" applyFill="1" applyBorder="1" applyAlignment="1" applyProtection="1">
      <alignment vertical="center"/>
    </xf>
    <xf numFmtId="14" fontId="1" fillId="0" borderId="3" xfId="1" applyNumberFormat="1" applyFont="1" applyFill="1" applyBorder="1" applyAlignment="1">
      <alignment vertical="center"/>
      <protection locked="0"/>
    </xf>
    <xf numFmtId="14" fontId="0" fillId="0" borderId="71" xfId="1" applyNumberFormat="1" applyFont="1" applyFill="1" applyBorder="1" applyAlignment="1" applyProtection="1">
      <alignment horizontal="center" vertical="center"/>
    </xf>
    <xf numFmtId="14" fontId="10" fillId="0" borderId="59" xfId="1" applyNumberFormat="1" applyFont="1" applyFill="1" applyBorder="1" applyAlignment="1" applyProtection="1">
      <alignment horizontal="center" vertical="center"/>
    </xf>
    <xf numFmtId="0" fontId="0" fillId="0" borderId="49" xfId="1" applyFont="1" applyFill="1" applyBorder="1" applyAlignment="1" applyProtection="1">
      <alignment vertical="center" wrapText="1"/>
    </xf>
    <xf numFmtId="0" fontId="0" fillId="2" borderId="7" xfId="0" applyFill="1" applyBorder="1" applyAlignment="1" applyProtection="1">
      <alignment horizontal="center" vertical="center"/>
      <protection locked="0"/>
    </xf>
    <xf numFmtId="0" fontId="0" fillId="2" borderId="8" xfId="0" applyFill="1" applyBorder="1" applyAlignment="1" applyProtection="1">
      <alignment horizontal="center" vertical="center"/>
      <protection locked="0"/>
    </xf>
    <xf numFmtId="0" fontId="1" fillId="2" borderId="22" xfId="0" applyFont="1" applyFill="1" applyBorder="1" applyAlignment="1" applyProtection="1">
      <alignment horizontal="center" vertical="center" wrapText="1"/>
      <protection locked="0"/>
    </xf>
    <xf numFmtId="0" fontId="1" fillId="2" borderId="23" xfId="0" applyFont="1" applyFill="1" applyBorder="1" applyAlignment="1" applyProtection="1">
      <alignment horizontal="center" vertical="center"/>
      <protection locked="0"/>
    </xf>
    <xf numFmtId="0" fontId="0" fillId="0" borderId="9" xfId="1" applyFont="1" applyFill="1" applyBorder="1" applyAlignment="1" applyProtection="1">
      <alignment horizontal="center" vertical="center"/>
    </xf>
    <xf numFmtId="0" fontId="0" fillId="0" borderId="10" xfId="1" applyFont="1" applyFill="1" applyBorder="1" applyAlignment="1" applyProtection="1">
      <alignment horizontal="center" vertical="center"/>
    </xf>
    <xf numFmtId="0" fontId="0" fillId="0" borderId="5" xfId="1" applyFont="1" applyFill="1" applyBorder="1" applyAlignment="1" applyProtection="1">
      <alignment horizontal="center" vertical="center"/>
    </xf>
    <xf numFmtId="0" fontId="1" fillId="0" borderId="11" xfId="1" applyFont="1" applyFill="1" applyBorder="1" applyAlignment="1" applyProtection="1">
      <alignment horizontal="center" vertical="center"/>
    </xf>
    <xf numFmtId="0" fontId="1" fillId="0" borderId="9" xfId="1" applyFont="1" applyFill="1" applyBorder="1" applyAlignment="1" applyProtection="1">
      <alignment horizontal="center" vertical="center"/>
    </xf>
    <xf numFmtId="0" fontId="0" fillId="0" borderId="11" xfId="1" applyFont="1" applyFill="1" applyBorder="1" applyAlignment="1" applyProtection="1">
      <alignment horizontal="center" vertical="center"/>
    </xf>
    <xf numFmtId="0" fontId="1" fillId="0" borderId="28" xfId="1" applyFont="1" applyBorder="1" applyAlignment="1" applyProtection="1">
      <alignment horizontal="left" vertical="center"/>
    </xf>
    <xf numFmtId="0" fontId="10" fillId="0" borderId="27" xfId="1" applyFont="1" applyBorder="1" applyAlignment="1">
      <alignment horizontal="left" vertical="center"/>
      <protection locked="0"/>
    </xf>
    <xf numFmtId="0" fontId="10" fillId="0" borderId="28" xfId="1" applyFont="1" applyBorder="1" applyAlignment="1">
      <alignment horizontal="left" vertical="center"/>
      <protection locked="0"/>
    </xf>
    <xf numFmtId="0" fontId="10" fillId="0" borderId="63" xfId="1" applyFont="1" applyBorder="1" applyAlignment="1">
      <alignment horizontal="left" vertical="center"/>
      <protection locked="0"/>
    </xf>
    <xf numFmtId="0" fontId="10" fillId="0" borderId="27" xfId="1" applyFont="1" applyFill="1" applyBorder="1" applyAlignment="1">
      <alignment horizontal="left" vertical="center"/>
      <protection locked="0"/>
    </xf>
    <xf numFmtId="0" fontId="10" fillId="0" borderId="28" xfId="1" applyFont="1" applyFill="1" applyBorder="1" applyAlignment="1">
      <alignment horizontal="left" vertical="center"/>
      <protection locked="0"/>
    </xf>
    <xf numFmtId="0" fontId="10" fillId="0" borderId="29" xfId="1" applyFont="1" applyFill="1" applyBorder="1" applyAlignment="1">
      <alignment horizontal="left" vertical="center"/>
      <protection locked="0"/>
    </xf>
    <xf numFmtId="0" fontId="0" fillId="0" borderId="9" xfId="1" applyFont="1" applyFill="1" applyBorder="1" applyAlignment="1" applyProtection="1">
      <alignment horizontal="left" vertical="center" wrapText="1"/>
    </xf>
    <xf numFmtId="0" fontId="0" fillId="0" borderId="59" xfId="1" applyFont="1" applyFill="1" applyBorder="1" applyAlignment="1" applyProtection="1">
      <alignment horizontal="left" vertical="center" wrapText="1"/>
    </xf>
    <xf numFmtId="0" fontId="0" fillId="0" borderId="14" xfId="1" applyFont="1" applyFill="1" applyBorder="1" applyAlignment="1">
      <alignment horizontal="center" vertical="center" wrapText="1"/>
      <protection locked="0"/>
    </xf>
    <xf numFmtId="0" fontId="0" fillId="0" borderId="15" xfId="1" applyFont="1" applyFill="1" applyBorder="1" applyAlignment="1">
      <alignment horizontal="center" vertical="center" wrapText="1"/>
      <protection locked="0"/>
    </xf>
    <xf numFmtId="0" fontId="1" fillId="0" borderId="4" xfId="1" applyFont="1" applyFill="1" applyBorder="1" applyAlignment="1">
      <alignment horizontal="center" vertical="center" wrapText="1"/>
      <protection locked="0"/>
    </xf>
    <xf numFmtId="0" fontId="1" fillId="0" borderId="2" xfId="1" applyFont="1" applyFill="1" applyBorder="1" applyAlignment="1">
      <alignment horizontal="center" vertical="center" wrapText="1"/>
      <protection locked="0"/>
    </xf>
    <xf numFmtId="0" fontId="0" fillId="0" borderId="57" xfId="1" applyFont="1" applyFill="1" applyBorder="1" applyAlignment="1">
      <alignment horizontal="center" vertical="center" wrapText="1"/>
      <protection locked="0"/>
    </xf>
    <xf numFmtId="0" fontId="0" fillId="0" borderId="5" xfId="1" applyFont="1" applyFill="1" applyBorder="1" applyAlignment="1" applyProtection="1">
      <alignment horizontal="left" vertical="center"/>
    </xf>
    <xf numFmtId="0" fontId="0" fillId="0" borderId="72" xfId="1" applyFont="1" applyFill="1" applyBorder="1" applyAlignment="1" applyProtection="1">
      <alignment horizontal="left" vertical="center"/>
    </xf>
    <xf numFmtId="0" fontId="1" fillId="3" borderId="17" xfId="0" applyFont="1" applyFill="1" applyBorder="1" applyAlignment="1">
      <alignment horizontal="center" vertical="center" textRotation="255"/>
    </xf>
    <xf numFmtId="0" fontId="1" fillId="3" borderId="18" xfId="0" applyFont="1" applyFill="1" applyBorder="1" applyAlignment="1">
      <alignment horizontal="center" vertical="center" textRotation="255"/>
    </xf>
    <xf numFmtId="0" fontId="1" fillId="3" borderId="19" xfId="0" applyFont="1" applyFill="1" applyBorder="1" applyAlignment="1">
      <alignment horizontal="center" vertical="center" textRotation="255"/>
    </xf>
    <xf numFmtId="0" fontId="1" fillId="0" borderId="58" xfId="1" applyFont="1" applyFill="1" applyBorder="1" applyAlignment="1" applyProtection="1">
      <alignment horizontal="center" vertical="center" wrapText="1"/>
    </xf>
    <xf numFmtId="0" fontId="1" fillId="0" borderId="5" xfId="1" applyFont="1" applyFill="1" applyBorder="1" applyAlignment="1" applyProtection="1">
      <alignment horizontal="center" vertical="center" wrapText="1"/>
    </xf>
    <xf numFmtId="0" fontId="1" fillId="0" borderId="60" xfId="1" applyFont="1" applyFill="1" applyBorder="1" applyAlignment="1" applyProtection="1">
      <alignment horizontal="left" vertical="center"/>
    </xf>
    <xf numFmtId="0" fontId="1" fillId="0" borderId="15" xfId="1" applyFont="1" applyFill="1" applyBorder="1" applyAlignment="1" applyProtection="1">
      <alignment horizontal="left" vertical="center"/>
    </xf>
    <xf numFmtId="0" fontId="1" fillId="0" borderId="16" xfId="1" applyFont="1" applyFill="1" applyBorder="1" applyAlignment="1" applyProtection="1">
      <alignment horizontal="left" vertical="center"/>
    </xf>
    <xf numFmtId="0" fontId="1" fillId="0" borderId="45" xfId="1" applyFont="1" applyFill="1" applyBorder="1" applyAlignment="1" applyProtection="1">
      <alignment horizontal="left" vertical="center"/>
    </xf>
    <xf numFmtId="0" fontId="1" fillId="0" borderId="0" xfId="1" applyFont="1" applyFill="1" applyBorder="1" applyAlignment="1" applyProtection="1">
      <alignment horizontal="left" vertical="center"/>
    </xf>
    <xf numFmtId="0" fontId="1" fillId="0" borderId="20" xfId="1" applyFont="1" applyFill="1" applyBorder="1" applyAlignment="1" applyProtection="1">
      <alignment horizontal="left" vertical="center"/>
    </xf>
    <xf numFmtId="0" fontId="0" fillId="0" borderId="5" xfId="1" applyFont="1" applyFill="1" applyBorder="1" applyAlignment="1" applyProtection="1">
      <alignment horizontal="center" vertical="center" wrapText="1"/>
    </xf>
    <xf numFmtId="14" fontId="0" fillId="0" borderId="9" xfId="1" applyNumberFormat="1" applyFont="1" applyFill="1" applyBorder="1" applyAlignment="1" applyProtection="1">
      <alignment horizontal="center" vertical="center"/>
    </xf>
    <xf numFmtId="0" fontId="0" fillId="0" borderId="59" xfId="1" applyFont="1" applyFill="1" applyBorder="1" applyAlignment="1" applyProtection="1">
      <alignment horizontal="center" vertical="center"/>
    </xf>
    <xf numFmtId="0" fontId="0" fillId="0" borderId="0" xfId="1" applyFont="1" applyFill="1" applyBorder="1" applyAlignment="1" applyProtection="1">
      <alignment horizontal="center" vertical="center"/>
    </xf>
    <xf numFmtId="0" fontId="1" fillId="3" borderId="65" xfId="1" applyFont="1" applyFill="1" applyBorder="1" applyAlignment="1" applyProtection="1">
      <alignment horizontal="left" vertical="center"/>
    </xf>
    <xf numFmtId="0" fontId="1" fillId="3" borderId="21" xfId="1" applyFont="1" applyFill="1" applyBorder="1" applyAlignment="1" applyProtection="1">
      <alignment horizontal="left" vertical="center"/>
    </xf>
    <xf numFmtId="0" fontId="1" fillId="3" borderId="22" xfId="1" applyFont="1" applyFill="1" applyBorder="1" applyAlignment="1" applyProtection="1">
      <alignment horizontal="left" vertical="center"/>
    </xf>
    <xf numFmtId="0" fontId="1" fillId="3" borderId="7" xfId="1" applyFont="1" applyFill="1" applyBorder="1" applyAlignment="1" applyProtection="1">
      <alignment horizontal="left" vertical="center"/>
    </xf>
    <xf numFmtId="0" fontId="0" fillId="0" borderId="11" xfId="1" applyFont="1" applyFill="1" applyBorder="1" applyAlignment="1">
      <alignment horizontal="center" vertical="center"/>
      <protection locked="0"/>
    </xf>
    <xf numFmtId="0" fontId="0" fillId="0" borderId="9" xfId="1" applyFont="1" applyFill="1" applyBorder="1" applyAlignment="1">
      <alignment horizontal="center" vertical="center"/>
      <protection locked="0"/>
    </xf>
    <xf numFmtId="0" fontId="0" fillId="0" borderId="59" xfId="1" applyFont="1" applyFill="1" applyBorder="1" applyAlignment="1">
      <alignment horizontal="center" vertical="center"/>
      <protection locked="0"/>
    </xf>
    <xf numFmtId="0" fontId="1" fillId="3" borderId="0" xfId="1" applyFont="1" applyFill="1" applyBorder="1" applyAlignment="1" applyProtection="1">
      <alignment horizontal="center" vertical="center" wrapText="1" shrinkToFit="1"/>
    </xf>
    <xf numFmtId="0" fontId="1" fillId="3" borderId="20" xfId="1" applyFont="1" applyFill="1" applyBorder="1" applyAlignment="1" applyProtection="1">
      <alignment horizontal="center" vertical="center" wrapText="1" shrinkToFit="1"/>
    </xf>
    <xf numFmtId="0" fontId="1" fillId="3" borderId="23" xfId="1" applyFont="1" applyFill="1" applyBorder="1" applyAlignment="1" applyProtection="1">
      <alignment horizontal="center" vertical="center" wrapText="1" shrinkToFit="1"/>
    </xf>
    <xf numFmtId="0" fontId="1" fillId="3" borderId="24" xfId="1" applyFont="1" applyFill="1" applyBorder="1" applyAlignment="1" applyProtection="1">
      <alignment horizontal="center" vertical="center" wrapText="1" shrinkToFit="1"/>
    </xf>
    <xf numFmtId="0" fontId="1" fillId="0" borderId="66" xfId="1" applyFont="1" applyFill="1" applyBorder="1" applyAlignment="1" applyProtection="1">
      <alignment horizontal="center" vertical="center"/>
    </xf>
    <xf numFmtId="0" fontId="1" fillId="0" borderId="10" xfId="1" applyFont="1" applyFill="1" applyBorder="1" applyAlignment="1" applyProtection="1">
      <alignment horizontal="center" vertical="center"/>
    </xf>
    <xf numFmtId="0" fontId="0" fillId="0" borderId="75" xfId="1" applyFont="1" applyFill="1" applyBorder="1" applyAlignment="1" applyProtection="1">
      <alignment horizontal="center" vertical="center" wrapText="1"/>
    </xf>
    <xf numFmtId="0" fontId="0" fillId="0" borderId="77" xfId="1" applyFont="1" applyFill="1" applyBorder="1" applyAlignment="1" applyProtection="1">
      <alignment horizontal="center" vertical="center" wrapText="1"/>
    </xf>
    <xf numFmtId="0" fontId="0" fillId="0" borderId="76" xfId="1" applyFont="1" applyFill="1" applyBorder="1" applyAlignment="1" applyProtection="1">
      <alignment horizontal="center" vertical="center" wrapText="1"/>
    </xf>
    <xf numFmtId="0" fontId="0" fillId="0" borderId="14" xfId="1" applyFont="1" applyFill="1" applyBorder="1" applyAlignment="1">
      <alignment horizontal="left" vertical="center" wrapText="1"/>
      <protection locked="0"/>
    </xf>
    <xf numFmtId="0" fontId="0" fillId="0" borderId="15" xfId="1" applyFont="1" applyFill="1" applyBorder="1" applyAlignment="1">
      <alignment horizontal="left" vertical="center" wrapText="1"/>
      <protection locked="0"/>
    </xf>
    <xf numFmtId="0" fontId="0" fillId="0" borderId="57" xfId="1" applyFont="1" applyFill="1" applyBorder="1" applyAlignment="1">
      <alignment horizontal="left" vertical="center" wrapText="1"/>
      <protection locked="0"/>
    </xf>
    <xf numFmtId="0" fontId="0" fillId="0" borderId="1" xfId="1" applyFont="1" applyFill="1" applyBorder="1" applyAlignment="1">
      <alignment horizontal="left" vertical="center" wrapText="1"/>
      <protection locked="0"/>
    </xf>
    <xf numFmtId="0" fontId="0" fillId="0" borderId="0" xfId="1" applyFont="1" applyFill="1" applyBorder="1" applyAlignment="1">
      <alignment horizontal="left" vertical="center" wrapText="1"/>
      <protection locked="0"/>
    </xf>
    <xf numFmtId="0" fontId="0" fillId="0" borderId="67" xfId="1" applyFont="1" applyFill="1" applyBorder="1" applyAlignment="1">
      <alignment horizontal="left" vertical="center" wrapText="1"/>
      <protection locked="0"/>
    </xf>
    <xf numFmtId="0" fontId="0" fillId="0" borderId="12" xfId="1" applyFont="1" applyFill="1" applyBorder="1" applyAlignment="1">
      <alignment horizontal="left" vertical="center" wrapText="1"/>
      <protection locked="0"/>
    </xf>
    <xf numFmtId="0" fontId="0" fillId="0" borderId="13" xfId="1" applyFont="1" applyFill="1" applyBorder="1" applyAlignment="1">
      <alignment horizontal="left" vertical="center" wrapText="1"/>
      <protection locked="0"/>
    </xf>
    <xf numFmtId="0" fontId="0" fillId="0" borderId="69" xfId="1" applyFont="1" applyFill="1" applyBorder="1" applyAlignment="1">
      <alignment horizontal="left" vertical="center" wrapText="1"/>
      <protection locked="0"/>
    </xf>
    <xf numFmtId="0" fontId="1" fillId="0" borderId="15" xfId="1" applyFont="1" applyFill="1" applyBorder="1" applyAlignment="1">
      <alignment horizontal="left" vertical="center" wrapText="1"/>
      <protection locked="0"/>
    </xf>
    <xf numFmtId="0" fontId="1" fillId="0" borderId="57" xfId="1" applyFont="1" applyFill="1" applyBorder="1" applyAlignment="1">
      <alignment horizontal="left" vertical="center" wrapText="1"/>
      <protection locked="0"/>
    </xf>
    <xf numFmtId="0" fontId="1" fillId="0" borderId="0" xfId="1" applyFont="1" applyFill="1" applyBorder="1" applyAlignment="1">
      <alignment horizontal="left" vertical="center" wrapText="1"/>
      <protection locked="0"/>
    </xf>
    <xf numFmtId="0" fontId="1" fillId="0" borderId="67" xfId="1" applyFont="1" applyFill="1" applyBorder="1" applyAlignment="1">
      <alignment horizontal="left" vertical="center" wrapText="1"/>
      <protection locked="0"/>
    </xf>
    <xf numFmtId="0" fontId="1" fillId="0" borderId="13" xfId="1" applyFont="1" applyFill="1" applyBorder="1" applyAlignment="1">
      <alignment horizontal="left" vertical="center" wrapText="1"/>
      <protection locked="0"/>
    </xf>
    <xf numFmtId="0" fontId="1" fillId="0" borderId="69" xfId="1" applyFont="1" applyFill="1" applyBorder="1" applyAlignment="1">
      <alignment horizontal="left" vertical="center" wrapText="1"/>
      <protection locked="0"/>
    </xf>
    <xf numFmtId="0" fontId="1" fillId="3" borderId="22" xfId="1" applyFont="1" applyFill="1" applyBorder="1" applyAlignment="1" applyProtection="1">
      <alignment horizontal="center" vertical="center" wrapText="1" shrinkToFit="1"/>
    </xf>
    <xf numFmtId="0" fontId="1" fillId="3" borderId="39" xfId="1" applyFont="1" applyFill="1" applyBorder="1" applyAlignment="1" applyProtection="1">
      <alignment horizontal="center" vertical="center" wrapText="1" shrinkToFit="1"/>
    </xf>
    <xf numFmtId="0" fontId="1" fillId="0" borderId="70" xfId="1" applyFont="1" applyFill="1" applyBorder="1" applyAlignment="1">
      <alignment horizontal="center" vertical="center" wrapText="1"/>
      <protection locked="0"/>
    </xf>
    <xf numFmtId="0" fontId="0" fillId="0" borderId="40" xfId="1" applyFont="1" applyFill="1" applyBorder="1" applyAlignment="1" applyProtection="1">
      <alignment horizontal="center" vertical="center" wrapText="1"/>
    </xf>
    <xf numFmtId="0" fontId="0" fillId="0" borderId="41" xfId="1" applyFont="1" applyFill="1" applyBorder="1" applyAlignment="1" applyProtection="1">
      <alignment horizontal="center" vertical="center" wrapText="1"/>
    </xf>
    <xf numFmtId="0" fontId="0" fillId="0" borderId="4" xfId="1" applyFont="1" applyFill="1" applyBorder="1" applyAlignment="1" applyProtection="1">
      <alignment horizontal="center" vertical="center"/>
    </xf>
    <xf numFmtId="0" fontId="0" fillId="0" borderId="2" xfId="1" applyFont="1" applyFill="1" applyBorder="1" applyAlignment="1" applyProtection="1">
      <alignment horizontal="center" vertical="center"/>
    </xf>
    <xf numFmtId="0" fontId="1" fillId="0" borderId="5" xfId="1" applyFont="1" applyFill="1" applyBorder="1" applyAlignment="1" applyProtection="1">
      <alignment horizontal="center" vertical="center"/>
    </xf>
    <xf numFmtId="0" fontId="0" fillId="0" borderId="23" xfId="1" applyFont="1" applyFill="1" applyBorder="1" applyAlignment="1" applyProtection="1">
      <alignment horizontal="center" vertical="center"/>
    </xf>
    <xf numFmtId="0" fontId="0" fillId="0" borderId="40" xfId="0" applyBorder="1" applyAlignment="1" applyProtection="1">
      <alignment horizontal="center" vertical="center" wrapText="1"/>
      <protection locked="0"/>
    </xf>
    <xf numFmtId="0" fontId="0" fillId="0" borderId="41" xfId="0" applyBorder="1" applyAlignment="1" applyProtection="1">
      <alignment horizontal="center" vertical="center" wrapText="1"/>
      <protection locked="0"/>
    </xf>
    <xf numFmtId="0" fontId="0" fillId="0" borderId="1" xfId="1" applyFont="1" applyFill="1" applyBorder="1" applyAlignment="1" applyProtection="1">
      <alignment horizontal="center" vertical="center" wrapText="1"/>
    </xf>
    <xf numFmtId="0" fontId="0" fillId="0" borderId="43" xfId="1" applyFont="1" applyFill="1" applyBorder="1" applyAlignment="1" applyProtection="1">
      <alignment horizontal="center" vertical="center" wrapText="1"/>
    </xf>
    <xf numFmtId="14" fontId="1" fillId="3" borderId="54" xfId="1" applyNumberFormat="1" applyFont="1" applyFill="1" applyBorder="1" applyAlignment="1" applyProtection="1">
      <alignment horizontal="center" vertical="center" wrapText="1"/>
    </xf>
    <xf numFmtId="0" fontId="1" fillId="3" borderId="54" xfId="1" applyFont="1" applyFill="1" applyBorder="1" applyAlignment="1" applyProtection="1">
      <alignment horizontal="center" vertical="center" wrapText="1"/>
    </xf>
    <xf numFmtId="0" fontId="1" fillId="3" borderId="55" xfId="1" applyFont="1" applyFill="1" applyBorder="1" applyAlignment="1" applyProtection="1">
      <alignment horizontal="center" vertical="center" wrapText="1"/>
    </xf>
    <xf numFmtId="0" fontId="1" fillId="3" borderId="26" xfId="1" applyFont="1" applyFill="1" applyBorder="1" applyAlignment="1" applyProtection="1">
      <alignment horizontal="center" vertical="center" wrapText="1"/>
    </xf>
    <xf numFmtId="0" fontId="1" fillId="3" borderId="56" xfId="1" applyFont="1" applyFill="1" applyBorder="1" applyAlignment="1" applyProtection="1">
      <alignment horizontal="center" vertical="center" wrapText="1"/>
    </xf>
    <xf numFmtId="0" fontId="9" fillId="3" borderId="47" xfId="1" applyFont="1" applyFill="1" applyBorder="1" applyAlignment="1">
      <alignment horizontal="center" vertical="center" wrapText="1"/>
      <protection locked="0"/>
    </xf>
    <xf numFmtId="0" fontId="9" fillId="3" borderId="1" xfId="1" applyFont="1" applyFill="1" applyBorder="1" applyAlignment="1">
      <alignment horizontal="center" vertical="center" wrapText="1"/>
      <protection locked="0"/>
    </xf>
    <xf numFmtId="0" fontId="1" fillId="3" borderId="22" xfId="1" applyFont="1" applyFill="1" applyBorder="1" applyAlignment="1" applyProtection="1">
      <alignment horizontal="center" vertical="center" wrapText="1"/>
    </xf>
    <xf numFmtId="0" fontId="1" fillId="3" borderId="39" xfId="1" applyFont="1" applyFill="1" applyBorder="1" applyAlignment="1" applyProtection="1">
      <alignment horizontal="center" vertical="center" wrapText="1"/>
    </xf>
    <xf numFmtId="0" fontId="1" fillId="3" borderId="0" xfId="1" applyFont="1" applyFill="1" applyBorder="1" applyAlignment="1" applyProtection="1">
      <alignment horizontal="center" vertical="center" wrapText="1"/>
    </xf>
    <xf numFmtId="0" fontId="1" fillId="3" borderId="20" xfId="1" applyFont="1" applyFill="1" applyBorder="1" applyAlignment="1" applyProtection="1">
      <alignment horizontal="center" vertical="center" wrapText="1"/>
    </xf>
    <xf numFmtId="14" fontId="1" fillId="3" borderId="14" xfId="1" applyNumberFormat="1" applyFont="1" applyFill="1" applyBorder="1" applyAlignment="1">
      <alignment horizontal="center" vertical="center" wrapText="1"/>
      <protection locked="0"/>
    </xf>
    <xf numFmtId="0" fontId="1" fillId="3" borderId="15" xfId="1" applyFont="1" applyFill="1" applyBorder="1" applyAlignment="1">
      <alignment horizontal="center" vertical="center" wrapText="1"/>
      <protection locked="0"/>
    </xf>
    <xf numFmtId="0" fontId="1" fillId="3" borderId="57" xfId="1" applyFont="1" applyFill="1" applyBorder="1" applyAlignment="1">
      <alignment horizontal="center" vertical="center" wrapText="1"/>
      <protection locked="0"/>
    </xf>
    <xf numFmtId="14" fontId="10" fillId="0" borderId="27" xfId="1" applyNumberFormat="1" applyFont="1" applyFill="1" applyBorder="1" applyAlignment="1">
      <alignment horizontal="left" vertical="center"/>
      <protection locked="0"/>
    </xf>
    <xf numFmtId="0" fontId="1" fillId="0" borderId="30" xfId="1" applyFont="1" applyBorder="1" applyAlignment="1" applyProtection="1">
      <alignment horizontal="left" vertical="center"/>
    </xf>
    <xf numFmtId="0" fontId="0" fillId="0" borderId="31" xfId="1" applyFont="1" applyBorder="1" applyAlignment="1">
      <alignment horizontal="left" vertical="center"/>
      <protection locked="0"/>
    </xf>
    <xf numFmtId="0" fontId="0" fillId="0" borderId="30" xfId="1" applyFont="1" applyBorder="1" applyAlignment="1">
      <alignment horizontal="left" vertical="center"/>
      <protection locked="0"/>
    </xf>
    <xf numFmtId="0" fontId="0" fillId="0" borderId="64" xfId="1" applyFont="1" applyBorder="1" applyAlignment="1">
      <alignment horizontal="left" vertical="center"/>
      <protection locked="0"/>
    </xf>
    <xf numFmtId="0" fontId="1" fillId="0" borderId="9" xfId="1" applyFont="1" applyFill="1" applyBorder="1" applyAlignment="1" applyProtection="1">
      <alignment horizontal="center" vertical="center" wrapText="1"/>
    </xf>
    <xf numFmtId="0" fontId="1" fillId="0" borderId="59" xfId="1" applyFont="1" applyFill="1" applyBorder="1" applyAlignment="1" applyProtection="1">
      <alignment horizontal="center" vertical="center" wrapText="1"/>
    </xf>
    <xf numFmtId="0" fontId="0" fillId="0" borderId="1" xfId="1" applyFont="1" applyFill="1" applyBorder="1" applyAlignment="1">
      <alignment horizontal="left" vertical="center"/>
      <protection locked="0"/>
    </xf>
    <xf numFmtId="0" fontId="0" fillId="0" borderId="0" xfId="1" applyFont="1" applyFill="1" applyBorder="1" applyAlignment="1">
      <alignment horizontal="left" vertical="center"/>
      <protection locked="0"/>
    </xf>
    <xf numFmtId="0" fontId="0" fillId="0" borderId="20" xfId="1" applyFont="1" applyFill="1" applyBorder="1" applyAlignment="1">
      <alignment horizontal="left" vertical="center"/>
      <protection locked="0"/>
    </xf>
    <xf numFmtId="0" fontId="0" fillId="0" borderId="32" xfId="1" applyFont="1" applyBorder="1" applyAlignment="1">
      <alignment horizontal="left" vertical="center"/>
      <protection locked="0"/>
    </xf>
    <xf numFmtId="0" fontId="0" fillId="0" borderId="33" xfId="1" applyFont="1" applyBorder="1" applyAlignment="1">
      <alignment horizontal="left" vertical="center"/>
      <protection locked="0"/>
    </xf>
    <xf numFmtId="0" fontId="0" fillId="0" borderId="61" xfId="1" applyFont="1" applyBorder="1" applyAlignment="1">
      <alignment horizontal="left" vertical="center"/>
      <protection locked="0"/>
    </xf>
    <xf numFmtId="0" fontId="0" fillId="0" borderId="34" xfId="1" applyFont="1" applyBorder="1" applyAlignment="1">
      <alignment horizontal="left" vertical="center"/>
      <protection locked="0"/>
    </xf>
    <xf numFmtId="0" fontId="0" fillId="0" borderId="35" xfId="1" applyFont="1" applyBorder="1" applyAlignment="1">
      <alignment horizontal="left" vertical="center"/>
      <protection locked="0"/>
    </xf>
    <xf numFmtId="0" fontId="0" fillId="0" borderId="62" xfId="1" applyFont="1" applyBorder="1" applyAlignment="1">
      <alignment horizontal="left" vertical="center"/>
      <protection locked="0"/>
    </xf>
    <xf numFmtId="0" fontId="1" fillId="0" borderId="35" xfId="1" applyFont="1" applyBorder="1" applyAlignment="1" applyProtection="1">
      <alignment horizontal="left" vertical="center"/>
    </xf>
    <xf numFmtId="0" fontId="0" fillId="0" borderId="34" xfId="1" applyFont="1" applyFill="1" applyBorder="1" applyAlignment="1">
      <alignment horizontal="left" vertical="center"/>
      <protection locked="0"/>
    </xf>
    <xf numFmtId="0" fontId="0" fillId="0" borderId="35" xfId="1" applyFont="1" applyFill="1" applyBorder="1" applyAlignment="1">
      <alignment horizontal="left" vertical="center"/>
      <protection locked="0"/>
    </xf>
    <xf numFmtId="0" fontId="0" fillId="0" borderId="36" xfId="1" applyFont="1" applyFill="1" applyBorder="1" applyAlignment="1">
      <alignment horizontal="left" vertical="center"/>
      <protection locked="0"/>
    </xf>
    <xf numFmtId="0" fontId="10" fillId="2" borderId="34" xfId="1" applyFont="1" applyFill="1" applyBorder="1" applyAlignment="1">
      <alignment horizontal="left" vertical="center"/>
      <protection locked="0"/>
    </xf>
    <xf numFmtId="0" fontId="10" fillId="2" borderId="35" xfId="1" applyFont="1" applyFill="1" applyBorder="1" applyAlignment="1">
      <alignment horizontal="left" vertical="center"/>
      <protection locked="0"/>
    </xf>
    <xf numFmtId="0" fontId="10" fillId="2" borderId="62" xfId="1" applyFont="1" applyFill="1" applyBorder="1" applyAlignment="1">
      <alignment horizontal="left" vertical="center"/>
      <protection locked="0"/>
    </xf>
    <xf numFmtId="0" fontId="0" fillId="0" borderId="31" xfId="1" applyFont="1" applyFill="1" applyBorder="1" applyAlignment="1">
      <alignment horizontal="left" vertical="center"/>
      <protection locked="0"/>
    </xf>
    <xf numFmtId="0" fontId="0" fillId="0" borderId="30" xfId="1" applyFont="1" applyFill="1" applyBorder="1" applyAlignment="1">
      <alignment horizontal="left" vertical="center"/>
      <protection locked="0"/>
    </xf>
    <xf numFmtId="0" fontId="0" fillId="0" borderId="37" xfId="1" applyFont="1" applyFill="1" applyBorder="1" applyAlignment="1">
      <alignment horizontal="left" vertical="center"/>
      <protection locked="0"/>
    </xf>
    <xf numFmtId="0" fontId="0" fillId="0" borderId="12" xfId="1" applyFont="1" applyFill="1" applyBorder="1" applyAlignment="1" applyProtection="1">
      <alignment horizontal="center" vertical="center"/>
    </xf>
    <xf numFmtId="0" fontId="0" fillId="0" borderId="13" xfId="1" applyFont="1" applyFill="1" applyBorder="1" applyAlignment="1" applyProtection="1">
      <alignment horizontal="center" vertical="center"/>
    </xf>
    <xf numFmtId="0" fontId="1" fillId="0" borderId="25" xfId="1" applyFont="1" applyFill="1" applyBorder="1" applyAlignment="1" applyProtection="1">
      <alignment horizontal="center" vertical="center"/>
    </xf>
    <xf numFmtId="0" fontId="1" fillId="0" borderId="1" xfId="1" applyFont="1" applyFill="1" applyBorder="1" applyAlignment="1" applyProtection="1">
      <alignment horizontal="center" vertical="center"/>
    </xf>
    <xf numFmtId="0" fontId="1" fillId="0" borderId="22" xfId="1" applyFont="1" applyFill="1" applyBorder="1" applyAlignment="1" applyProtection="1">
      <alignment horizontal="center" vertical="center"/>
    </xf>
    <xf numFmtId="0" fontId="1" fillId="0" borderId="7" xfId="1" applyFont="1" applyFill="1" applyBorder="1" applyAlignment="1" applyProtection="1">
      <alignment horizontal="center" vertical="center"/>
    </xf>
    <xf numFmtId="0" fontId="1" fillId="0" borderId="12" xfId="1" applyFont="1" applyFill="1" applyBorder="1" applyAlignment="1" applyProtection="1">
      <alignment horizontal="center" vertical="center"/>
    </xf>
    <xf numFmtId="0" fontId="1" fillId="0" borderId="13" xfId="1" applyFont="1" applyFill="1" applyBorder="1" applyAlignment="1" applyProtection="1">
      <alignment horizontal="center" vertical="center"/>
    </xf>
    <xf numFmtId="0" fontId="1" fillId="0" borderId="69" xfId="1" applyFont="1" applyFill="1" applyBorder="1" applyAlignment="1" applyProtection="1">
      <alignment horizontal="center" vertical="center"/>
    </xf>
    <xf numFmtId="0" fontId="0" fillId="0" borderId="79" xfId="1" applyFont="1" applyFill="1" applyBorder="1" applyAlignment="1" applyProtection="1">
      <alignment horizontal="center" vertical="center" wrapText="1"/>
    </xf>
    <xf numFmtId="0" fontId="1" fillId="3" borderId="44" xfId="1" applyFont="1" applyFill="1" applyBorder="1" applyAlignment="1" applyProtection="1">
      <alignment horizontal="center" vertical="center" wrapText="1" shrinkToFit="1"/>
    </xf>
    <xf numFmtId="0" fontId="1" fillId="3" borderId="45" xfId="1" applyFont="1" applyFill="1" applyBorder="1" applyAlignment="1" applyProtection="1">
      <alignment horizontal="center" vertical="center" wrapText="1" shrinkToFit="1"/>
    </xf>
    <xf numFmtId="0" fontId="1" fillId="3" borderId="46" xfId="1" applyFont="1" applyFill="1" applyBorder="1" applyAlignment="1" applyProtection="1">
      <alignment horizontal="center" vertical="center" wrapText="1" shrinkToFit="1"/>
    </xf>
    <xf numFmtId="0" fontId="0" fillId="0" borderId="3" xfId="1" applyFont="1" applyFill="1" applyBorder="1" applyAlignment="1" applyProtection="1">
      <alignment horizontal="center" vertical="center"/>
    </xf>
    <xf numFmtId="0" fontId="0" fillId="0" borderId="47" xfId="1" applyFont="1" applyFill="1" applyBorder="1" applyAlignment="1" applyProtection="1">
      <alignment horizontal="center" vertical="center" wrapText="1"/>
    </xf>
    <xf numFmtId="0" fontId="0" fillId="0" borderId="22" xfId="1" applyFont="1" applyFill="1" applyBorder="1" applyAlignment="1" applyProtection="1">
      <alignment horizontal="center" vertical="center" wrapText="1"/>
    </xf>
    <xf numFmtId="0" fontId="0" fillId="0" borderId="7" xfId="1" applyFont="1" applyFill="1" applyBorder="1" applyAlignment="1" applyProtection="1">
      <alignment horizontal="center" vertical="center" wrapText="1"/>
    </xf>
    <xf numFmtId="0" fontId="0" fillId="0" borderId="12" xfId="1" applyFont="1" applyFill="1" applyBorder="1" applyAlignment="1" applyProtection="1">
      <alignment horizontal="center" vertical="center" wrapText="1"/>
    </xf>
    <xf numFmtId="0" fontId="0" fillId="0" borderId="13" xfId="1" applyFont="1" applyFill="1" applyBorder="1" applyAlignment="1" applyProtection="1">
      <alignment horizontal="center" vertical="center" wrapText="1"/>
    </xf>
    <xf numFmtId="0" fontId="0" fillId="0" borderId="69" xfId="1" applyFont="1" applyFill="1" applyBorder="1" applyAlignment="1" applyProtection="1">
      <alignment horizontal="center" vertical="center" wrapText="1"/>
    </xf>
    <xf numFmtId="0" fontId="0" fillId="0" borderId="14" xfId="1" applyFont="1" applyFill="1" applyBorder="1" applyAlignment="1" applyProtection="1">
      <alignment horizontal="center" vertical="center" wrapText="1"/>
    </xf>
    <xf numFmtId="0" fontId="0" fillId="0" borderId="15" xfId="1" applyFont="1" applyFill="1" applyBorder="1" applyAlignment="1" applyProtection="1">
      <alignment horizontal="center" vertical="center" wrapText="1"/>
    </xf>
    <xf numFmtId="0" fontId="0" fillId="0" borderId="57" xfId="1" applyFont="1" applyFill="1" applyBorder="1" applyAlignment="1" applyProtection="1">
      <alignment horizontal="center" vertical="center" wrapText="1"/>
    </xf>
    <xf numFmtId="0" fontId="0" fillId="0" borderId="0" xfId="1" applyFont="1" applyFill="1" applyBorder="1" applyAlignment="1" applyProtection="1">
      <alignment horizontal="center" vertical="center" wrapText="1"/>
    </xf>
    <xf numFmtId="0" fontId="0" fillId="0" borderId="67" xfId="1" applyFont="1" applyFill="1" applyBorder="1" applyAlignment="1" applyProtection="1">
      <alignment horizontal="center" vertical="center" wrapText="1"/>
    </xf>
    <xf numFmtId="0" fontId="0" fillId="0" borderId="14" xfId="1" applyFont="1" applyFill="1" applyBorder="1" applyAlignment="1" applyProtection="1">
      <alignment horizontal="center" vertical="center"/>
    </xf>
    <xf numFmtId="0" fontId="0" fillId="0" borderId="15" xfId="1" applyFont="1" applyFill="1" applyBorder="1" applyAlignment="1" applyProtection="1">
      <alignment horizontal="center" vertical="center"/>
    </xf>
    <xf numFmtId="0" fontId="0" fillId="0" borderId="57" xfId="1" applyFont="1" applyFill="1" applyBorder="1" applyAlignment="1" applyProtection="1">
      <alignment horizontal="center" vertical="center"/>
    </xf>
    <xf numFmtId="0" fontId="0" fillId="0" borderId="1" xfId="1" applyFont="1" applyFill="1" applyBorder="1" applyAlignment="1" applyProtection="1">
      <alignment horizontal="center" vertical="center"/>
    </xf>
    <xf numFmtId="0" fontId="0" fillId="0" borderId="67" xfId="1" applyFont="1" applyFill="1" applyBorder="1" applyAlignment="1" applyProtection="1">
      <alignment horizontal="center" vertical="center"/>
    </xf>
    <xf numFmtId="0" fontId="0" fillId="0" borderId="69" xfId="1" applyFont="1" applyFill="1" applyBorder="1" applyAlignment="1" applyProtection="1">
      <alignment horizontal="center" vertical="center"/>
    </xf>
    <xf numFmtId="0" fontId="1" fillId="0" borderId="0" xfId="1" applyFont="1" applyBorder="1" applyAlignment="1" applyProtection="1">
      <alignment horizontal="left" vertical="center"/>
    </xf>
    <xf numFmtId="0" fontId="1" fillId="0" borderId="59" xfId="1" applyFont="1" applyFill="1" applyBorder="1" applyAlignment="1" applyProtection="1">
      <alignment horizontal="center" vertical="center"/>
    </xf>
    <xf numFmtId="0" fontId="0" fillId="0" borderId="48" xfId="1" applyFont="1" applyFill="1" applyBorder="1" applyAlignment="1" applyProtection="1">
      <alignment horizontal="left" vertical="center"/>
    </xf>
    <xf numFmtId="0" fontId="0" fillId="0" borderId="71" xfId="1" applyFont="1" applyFill="1" applyBorder="1" applyAlignment="1" applyProtection="1">
      <alignment horizontal="left" vertical="center"/>
    </xf>
    <xf numFmtId="0" fontId="0" fillId="0" borderId="10" xfId="1" applyFont="1" applyFill="1" applyBorder="1" applyAlignment="1">
      <alignment horizontal="center" vertical="center"/>
      <protection locked="0"/>
    </xf>
    <xf numFmtId="0" fontId="1" fillId="0" borderId="46" xfId="1" applyFont="1" applyFill="1" applyBorder="1" applyAlignment="1" applyProtection="1">
      <alignment horizontal="left" vertical="center"/>
    </xf>
    <xf numFmtId="0" fontId="1" fillId="0" borderId="23" xfId="1" applyFont="1" applyFill="1" applyBorder="1" applyAlignment="1" applyProtection="1">
      <alignment horizontal="left" vertical="center"/>
    </xf>
    <xf numFmtId="0" fontId="1" fillId="0" borderId="24" xfId="1" applyFont="1" applyFill="1" applyBorder="1" applyAlignment="1" applyProtection="1">
      <alignment horizontal="left" vertical="center"/>
    </xf>
    <xf numFmtId="0" fontId="10" fillId="0" borderId="34" xfId="1" applyFont="1" applyFill="1" applyBorder="1" applyAlignment="1">
      <alignment horizontal="left" vertical="center"/>
      <protection locked="0"/>
    </xf>
    <xf numFmtId="0" fontId="10" fillId="0" borderId="35" xfId="1" applyFont="1" applyFill="1" applyBorder="1" applyAlignment="1">
      <alignment horizontal="left" vertical="center"/>
      <protection locked="0"/>
    </xf>
    <xf numFmtId="0" fontId="10" fillId="0" borderId="36" xfId="1" applyFont="1" applyFill="1" applyBorder="1" applyAlignment="1">
      <alignment horizontal="left" vertical="center"/>
      <protection locked="0"/>
    </xf>
    <xf numFmtId="0" fontId="0" fillId="0" borderId="60" xfId="1" applyFont="1" applyFill="1" applyBorder="1" applyAlignment="1">
      <alignment horizontal="center" vertical="center" wrapText="1"/>
      <protection locked="0"/>
    </xf>
    <xf numFmtId="0" fontId="0" fillId="0" borderId="16" xfId="1" applyFont="1" applyFill="1" applyBorder="1" applyAlignment="1">
      <alignment horizontal="center" vertical="center" wrapText="1"/>
      <protection locked="0"/>
    </xf>
    <xf numFmtId="0" fontId="0" fillId="0" borderId="45" xfId="1" applyFont="1" applyFill="1" applyBorder="1" applyAlignment="1">
      <alignment horizontal="center" vertical="center" wrapText="1"/>
      <protection locked="0"/>
    </xf>
    <xf numFmtId="0" fontId="0" fillId="0" borderId="0" xfId="1" applyFont="1" applyFill="1" applyBorder="1" applyAlignment="1">
      <alignment horizontal="center" vertical="center" wrapText="1"/>
      <protection locked="0"/>
    </xf>
    <xf numFmtId="0" fontId="0" fillId="0" borderId="20" xfId="1" applyFont="1" applyFill="1" applyBorder="1" applyAlignment="1">
      <alignment horizontal="center" vertical="center" wrapText="1"/>
      <protection locked="0"/>
    </xf>
    <xf numFmtId="0" fontId="0" fillId="0" borderId="68" xfId="1" applyFont="1" applyFill="1" applyBorder="1" applyAlignment="1">
      <alignment horizontal="center" vertical="center" wrapText="1"/>
      <protection locked="0"/>
    </xf>
    <xf numFmtId="0" fontId="0" fillId="0" borderId="13" xfId="1" applyFont="1" applyFill="1" applyBorder="1" applyAlignment="1">
      <alignment horizontal="center" vertical="center" wrapText="1"/>
      <protection locked="0"/>
    </xf>
    <xf numFmtId="0" fontId="0" fillId="0" borderId="38" xfId="1" applyFont="1" applyFill="1" applyBorder="1" applyAlignment="1">
      <alignment horizontal="center" vertical="center" wrapText="1"/>
      <protection locked="0"/>
    </xf>
    <xf numFmtId="0" fontId="0" fillId="0" borderId="1" xfId="1" applyFont="1" applyFill="1" applyBorder="1" applyAlignment="1">
      <alignment horizontal="center" vertical="center" wrapText="1"/>
      <protection locked="0"/>
    </xf>
    <xf numFmtId="0" fontId="0" fillId="0" borderId="12" xfId="1" applyFont="1" applyFill="1" applyBorder="1" applyAlignment="1">
      <alignment horizontal="center" vertical="center" wrapText="1"/>
      <protection locked="0"/>
    </xf>
    <xf numFmtId="0" fontId="1" fillId="0" borderId="60" xfId="1" applyFont="1" applyFill="1" applyBorder="1" applyAlignment="1">
      <alignment horizontal="center" vertical="center"/>
      <protection locked="0"/>
    </xf>
    <xf numFmtId="0" fontId="1" fillId="0" borderId="15" xfId="1" applyFont="1" applyFill="1" applyBorder="1" applyAlignment="1">
      <alignment horizontal="center" vertical="center"/>
      <protection locked="0"/>
    </xf>
    <xf numFmtId="0" fontId="1" fillId="0" borderId="45" xfId="1" applyFont="1" applyFill="1" applyBorder="1" applyAlignment="1">
      <alignment horizontal="center" vertical="center"/>
      <protection locked="0"/>
    </xf>
    <xf numFmtId="0" fontId="1" fillId="0" borderId="0" xfId="1" applyFont="1" applyFill="1" applyBorder="1" applyAlignment="1">
      <alignment horizontal="center" vertical="center"/>
      <protection locked="0"/>
    </xf>
    <xf numFmtId="0" fontId="1" fillId="0" borderId="68" xfId="1" applyFont="1" applyFill="1" applyBorder="1" applyAlignment="1">
      <alignment horizontal="center" vertical="center"/>
      <protection locked="0"/>
    </xf>
    <xf numFmtId="0" fontId="1" fillId="0" borderId="13" xfId="1" applyFont="1" applyFill="1" applyBorder="1" applyAlignment="1">
      <alignment horizontal="center" vertical="center"/>
      <protection locked="0"/>
    </xf>
    <xf numFmtId="0" fontId="0" fillId="0" borderId="42" xfId="1" applyFont="1" applyFill="1" applyBorder="1" applyAlignment="1" applyProtection="1">
      <alignment horizontal="center" vertical="center" wrapText="1"/>
    </xf>
    <xf numFmtId="0" fontId="0" fillId="0" borderId="21" xfId="1" applyFont="1" applyFill="1" applyBorder="1" applyAlignment="1" applyProtection="1">
      <alignment horizontal="center" vertical="center" wrapText="1"/>
    </xf>
    <xf numFmtId="0" fontId="0" fillId="0" borderId="78" xfId="1" applyFont="1" applyFill="1" applyBorder="1" applyAlignment="1" applyProtection="1">
      <alignment horizontal="center" vertical="center" wrapText="1"/>
    </xf>
    <xf numFmtId="0" fontId="0" fillId="0" borderId="5" xfId="1" applyFont="1" applyFill="1" applyBorder="1" applyAlignment="1">
      <alignment horizontal="center" vertical="center" wrapText="1"/>
      <protection locked="0"/>
    </xf>
    <xf numFmtId="0" fontId="0" fillId="0" borderId="25" xfId="1" applyFont="1" applyFill="1" applyBorder="1" applyAlignment="1" applyProtection="1">
      <alignment horizontal="center" vertical="center"/>
    </xf>
    <xf numFmtId="0" fontId="0" fillId="0" borderId="25" xfId="1" applyFont="1" applyFill="1" applyBorder="1" applyAlignment="1">
      <alignment horizontal="center" vertical="center"/>
      <protection locked="0"/>
    </xf>
    <xf numFmtId="0" fontId="0" fillId="0" borderId="74" xfId="1" applyFont="1" applyFill="1" applyBorder="1" applyAlignment="1">
      <alignment horizontal="center" vertical="center"/>
      <protection locked="0"/>
    </xf>
    <xf numFmtId="0" fontId="4" fillId="0" borderId="11" xfId="1" applyFont="1" applyFill="1" applyBorder="1" applyAlignment="1" applyProtection="1">
      <alignment horizontal="center" vertical="center"/>
    </xf>
    <xf numFmtId="0" fontId="4" fillId="0" borderId="10" xfId="1" applyFont="1" applyFill="1" applyBorder="1" applyAlignment="1" applyProtection="1">
      <alignment horizontal="center" vertical="center"/>
    </xf>
    <xf numFmtId="0" fontId="10" fillId="0" borderId="11" xfId="1" applyFont="1" applyFill="1" applyBorder="1" applyAlignment="1" applyProtection="1">
      <alignment horizontal="center" vertical="center" wrapText="1"/>
    </xf>
    <xf numFmtId="0" fontId="10" fillId="0" borderId="9" xfId="1" applyFont="1" applyFill="1" applyBorder="1" applyAlignment="1" applyProtection="1">
      <alignment horizontal="center" vertical="center"/>
    </xf>
    <xf numFmtId="0" fontId="10" fillId="0" borderId="10" xfId="1" applyFont="1" applyFill="1" applyBorder="1" applyAlignment="1" applyProtection="1">
      <alignment horizontal="center" vertical="center"/>
    </xf>
    <xf numFmtId="0" fontId="0" fillId="0" borderId="11" xfId="1" applyFont="1" applyFill="1" applyBorder="1" applyAlignment="1" applyProtection="1">
      <alignment vertical="center" wrapText="1"/>
    </xf>
    <xf numFmtId="0" fontId="0" fillId="0" borderId="9" xfId="1" applyFont="1" applyFill="1" applyBorder="1" applyAlignment="1" applyProtection="1">
      <alignment vertical="center" wrapText="1"/>
    </xf>
    <xf numFmtId="0" fontId="0" fillId="0" borderId="11" xfId="1" applyFont="1" applyFill="1" applyBorder="1" applyAlignment="1">
      <alignment horizontal="center" vertical="center" wrapText="1"/>
      <protection locked="0"/>
    </xf>
    <xf numFmtId="0" fontId="0" fillId="0" borderId="9" xfId="0" applyBorder="1"/>
    <xf numFmtId="0" fontId="0" fillId="0" borderId="10" xfId="0" applyBorder="1"/>
    <xf numFmtId="0" fontId="0" fillId="0" borderId="59" xfId="1" applyFont="1" applyFill="1" applyBorder="1" applyAlignment="1">
      <alignment horizontal="center" vertical="center" wrapText="1"/>
      <protection locked="0"/>
    </xf>
    <xf numFmtId="0" fontId="10" fillId="0" borderId="9" xfId="1" applyFont="1" applyFill="1" applyBorder="1" applyAlignment="1" applyProtection="1">
      <alignment horizontal="center" vertical="center" wrapText="1"/>
    </xf>
    <xf numFmtId="0" fontId="10" fillId="0" borderId="10" xfId="1" applyFont="1" applyFill="1" applyBorder="1" applyAlignment="1" applyProtection="1">
      <alignment horizontal="center" vertical="center" wrapText="1"/>
    </xf>
    <xf numFmtId="0" fontId="10" fillId="0" borderId="11" xfId="1" applyFont="1" applyFill="1" applyBorder="1" applyAlignment="1" applyProtection="1">
      <alignment horizontal="center" vertical="center"/>
    </xf>
    <xf numFmtId="0" fontId="0" fillId="2" borderId="0" xfId="0" applyFill="1" applyAlignment="1" applyProtection="1">
      <alignment horizontal="left" vertical="center" wrapText="1"/>
      <protection locked="0"/>
    </xf>
    <xf numFmtId="0" fontId="0" fillId="0" borderId="14" xfId="1" applyFont="1" applyFill="1" applyBorder="1" applyAlignment="1">
      <alignment horizontal="center" vertical="center"/>
      <protection locked="0"/>
    </xf>
    <xf numFmtId="0" fontId="0" fillId="0" borderId="15" xfId="1" applyFont="1" applyFill="1" applyBorder="1" applyAlignment="1">
      <alignment horizontal="center" vertical="center"/>
      <protection locked="0"/>
    </xf>
    <xf numFmtId="0" fontId="0" fillId="0" borderId="16" xfId="1" applyFont="1" applyFill="1" applyBorder="1" applyAlignment="1">
      <alignment horizontal="center" vertical="center"/>
      <protection locked="0"/>
    </xf>
    <xf numFmtId="0" fontId="0" fillId="0" borderId="1" xfId="1" applyFont="1" applyFill="1" applyBorder="1" applyAlignment="1">
      <alignment horizontal="center" vertical="center"/>
      <protection locked="0"/>
    </xf>
    <xf numFmtId="0" fontId="0" fillId="0" borderId="0" xfId="1" applyFont="1" applyFill="1" applyBorder="1" applyAlignment="1">
      <alignment horizontal="center" vertical="center"/>
      <protection locked="0"/>
    </xf>
    <xf numFmtId="0" fontId="0" fillId="0" borderId="20" xfId="1" applyFont="1" applyFill="1" applyBorder="1" applyAlignment="1">
      <alignment horizontal="center" vertical="center"/>
      <protection locked="0"/>
    </xf>
    <xf numFmtId="0" fontId="0" fillId="0" borderId="12" xfId="1" applyFont="1" applyFill="1" applyBorder="1" applyAlignment="1">
      <alignment horizontal="center" vertical="center"/>
      <protection locked="0"/>
    </xf>
    <xf numFmtId="0" fontId="0" fillId="0" borderId="13" xfId="1" applyFont="1" applyFill="1" applyBorder="1" applyAlignment="1">
      <alignment horizontal="center" vertical="center"/>
      <protection locked="0"/>
    </xf>
    <xf numFmtId="0" fontId="0" fillId="0" borderId="38" xfId="1" applyFont="1" applyFill="1" applyBorder="1" applyAlignment="1">
      <alignment horizontal="center" vertical="center"/>
      <protection locked="0"/>
    </xf>
    <xf numFmtId="0" fontId="0" fillId="0" borderId="57" xfId="1" applyFont="1" applyFill="1" applyBorder="1" applyAlignment="1">
      <alignment horizontal="center" vertical="center"/>
      <protection locked="0"/>
    </xf>
    <xf numFmtId="0" fontId="0" fillId="0" borderId="67" xfId="1" applyFont="1" applyFill="1" applyBorder="1" applyAlignment="1">
      <alignment horizontal="center" vertical="center"/>
      <protection locked="0"/>
    </xf>
    <xf numFmtId="0" fontId="0" fillId="0" borderId="69" xfId="1" applyFont="1" applyFill="1" applyBorder="1" applyAlignment="1">
      <alignment horizontal="center" vertical="center"/>
      <protection locked="0"/>
    </xf>
    <xf numFmtId="0" fontId="0" fillId="0" borderId="49" xfId="1" applyFont="1" applyFill="1" applyBorder="1" applyAlignment="1">
      <alignment horizontal="center" vertical="center"/>
      <protection locked="0"/>
    </xf>
    <xf numFmtId="0" fontId="0" fillId="0" borderId="23" xfId="1" applyFont="1" applyFill="1" applyBorder="1" applyAlignment="1">
      <alignment horizontal="center" vertical="center"/>
      <protection locked="0"/>
    </xf>
    <xf numFmtId="0" fontId="0" fillId="0" borderId="24" xfId="1" applyFont="1" applyFill="1" applyBorder="1" applyAlignment="1">
      <alignment horizontal="center" vertical="center"/>
      <protection locked="0"/>
    </xf>
    <xf numFmtId="0" fontId="0" fillId="0" borderId="8" xfId="1" applyFont="1" applyFill="1" applyBorder="1" applyAlignment="1">
      <alignment horizontal="center" vertical="center"/>
      <protection locked="0"/>
    </xf>
    <xf numFmtId="0" fontId="1" fillId="3" borderId="38" xfId="1" applyFont="1" applyFill="1" applyBorder="1" applyAlignment="1" applyProtection="1">
      <alignment horizontal="center" vertical="center" wrapText="1" shrinkToFit="1"/>
    </xf>
    <xf numFmtId="0" fontId="1" fillId="3" borderId="48" xfId="1" applyFont="1" applyFill="1" applyBorder="1" applyAlignment="1" applyProtection="1">
      <alignment horizontal="center" vertical="center" wrapText="1" shrinkToFit="1"/>
    </xf>
    <xf numFmtId="0" fontId="1" fillId="3" borderId="10" xfId="1" applyFont="1" applyFill="1" applyBorder="1" applyAlignment="1" applyProtection="1">
      <alignment horizontal="center" vertical="center" wrapText="1" shrinkToFit="1"/>
    </xf>
    <xf numFmtId="0" fontId="1" fillId="3" borderId="5" xfId="1" applyFont="1" applyFill="1" applyBorder="1" applyAlignment="1" applyProtection="1">
      <alignment horizontal="center" vertical="center" wrapText="1" shrinkToFit="1"/>
    </xf>
    <xf numFmtId="0" fontId="1" fillId="3" borderId="3" xfId="1" applyFont="1" applyFill="1" applyBorder="1" applyAlignment="1" applyProtection="1">
      <alignment horizontal="center" vertical="center" wrapText="1" shrinkToFit="1"/>
    </xf>
    <xf numFmtId="0" fontId="1" fillId="3" borderId="25" xfId="1" applyFont="1" applyFill="1" applyBorder="1" applyAlignment="1" applyProtection="1">
      <alignment horizontal="center" vertical="center" wrapText="1" shrinkToFit="1"/>
    </xf>
    <xf numFmtId="0" fontId="1" fillId="0" borderId="14" xfId="1" applyFont="1" applyFill="1" applyBorder="1" applyAlignment="1" applyProtection="1">
      <alignment horizontal="center" vertical="center" wrapText="1"/>
    </xf>
    <xf numFmtId="0" fontId="1" fillId="0" borderId="15" xfId="1" applyFont="1" applyFill="1" applyBorder="1" applyAlignment="1" applyProtection="1">
      <alignment horizontal="center" vertical="center" wrapText="1"/>
    </xf>
    <xf numFmtId="0" fontId="1" fillId="0" borderId="57" xfId="1" applyFont="1" applyFill="1" applyBorder="1" applyAlignment="1" applyProtection="1">
      <alignment horizontal="center" vertical="center" wrapText="1"/>
    </xf>
    <xf numFmtId="0" fontId="1" fillId="0" borderId="1" xfId="1" applyFont="1" applyFill="1" applyBorder="1" applyAlignment="1" applyProtection="1">
      <alignment horizontal="center" vertical="center" wrapText="1"/>
    </xf>
    <xf numFmtId="0" fontId="1" fillId="0" borderId="0" xfId="1" applyFont="1" applyFill="1" applyBorder="1" applyAlignment="1" applyProtection="1">
      <alignment horizontal="center" vertical="center" wrapText="1"/>
    </xf>
    <xf numFmtId="0" fontId="1" fillId="0" borderId="67" xfId="1" applyFont="1" applyFill="1" applyBorder="1" applyAlignment="1" applyProtection="1">
      <alignment horizontal="center" vertical="center" wrapText="1"/>
    </xf>
    <xf numFmtId="0" fontId="1" fillId="0" borderId="12" xfId="1" applyFont="1" applyFill="1" applyBorder="1" applyAlignment="1" applyProtection="1">
      <alignment horizontal="center" vertical="center" wrapText="1"/>
    </xf>
    <xf numFmtId="0" fontId="1" fillId="0" borderId="13" xfId="1" applyFont="1" applyFill="1" applyBorder="1" applyAlignment="1" applyProtection="1">
      <alignment horizontal="center" vertical="center" wrapText="1"/>
    </xf>
    <xf numFmtId="0" fontId="1" fillId="0" borderId="69" xfId="1" applyFont="1" applyFill="1" applyBorder="1" applyAlignment="1" applyProtection="1">
      <alignment horizontal="center" vertical="center" wrapText="1"/>
    </xf>
    <xf numFmtId="0" fontId="0" fillId="0" borderId="42" xfId="1" applyFont="1" applyFill="1" applyBorder="1" applyAlignment="1" applyProtection="1">
      <alignment horizontal="center" vertical="center"/>
    </xf>
    <xf numFmtId="0" fontId="0" fillId="0" borderId="21" xfId="1" applyFont="1" applyFill="1" applyBorder="1" applyAlignment="1" applyProtection="1">
      <alignment horizontal="center" vertical="center"/>
    </xf>
    <xf numFmtId="0" fontId="0" fillId="0" borderId="78" xfId="1" applyFont="1" applyFill="1" applyBorder="1" applyAlignment="1" applyProtection="1">
      <alignment horizontal="center" vertical="center"/>
    </xf>
    <xf numFmtId="0" fontId="0" fillId="0" borderId="16" xfId="1" applyFont="1" applyFill="1" applyBorder="1" applyAlignment="1" applyProtection="1">
      <alignment horizontal="center" vertical="center" wrapText="1"/>
    </xf>
    <xf numFmtId="0" fontId="0" fillId="0" borderId="20" xfId="1" applyFont="1" applyFill="1" applyBorder="1" applyAlignment="1" applyProtection="1">
      <alignment horizontal="center" vertical="center" wrapText="1"/>
    </xf>
    <xf numFmtId="0" fontId="0" fillId="0" borderId="38" xfId="1" applyFont="1" applyFill="1" applyBorder="1" applyAlignment="1" applyProtection="1">
      <alignment horizontal="center" vertical="center" wrapText="1"/>
    </xf>
    <xf numFmtId="0" fontId="0" fillId="0" borderId="72" xfId="1" applyFont="1" applyFill="1" applyBorder="1" applyAlignment="1" applyProtection="1">
      <alignment horizontal="center" vertical="center"/>
    </xf>
    <xf numFmtId="14" fontId="0" fillId="0" borderId="5" xfId="1" applyNumberFormat="1" applyFont="1" applyFill="1" applyBorder="1" applyAlignment="1" applyProtection="1">
      <alignment horizontal="center" vertical="center"/>
    </xf>
    <xf numFmtId="0" fontId="6" fillId="3" borderId="44" xfId="1" applyFont="1" applyFill="1" applyBorder="1" applyAlignment="1">
      <alignment horizontal="center" vertical="center"/>
      <protection locked="0"/>
    </xf>
    <xf numFmtId="0" fontId="6" fillId="3" borderId="39" xfId="1" applyFont="1" applyFill="1" applyBorder="1" applyAlignment="1">
      <alignment horizontal="center" vertical="center"/>
      <protection locked="0"/>
    </xf>
    <xf numFmtId="0" fontId="6" fillId="3" borderId="45" xfId="1" applyFont="1" applyFill="1" applyBorder="1" applyAlignment="1">
      <alignment horizontal="center" vertical="center"/>
      <protection locked="0"/>
    </xf>
    <xf numFmtId="0" fontId="6" fillId="3" borderId="20" xfId="1" applyFont="1" applyFill="1" applyBorder="1" applyAlignment="1">
      <alignment horizontal="center" vertical="center"/>
      <protection locked="0"/>
    </xf>
    <xf numFmtId="0" fontId="1" fillId="3" borderId="50" xfId="0" applyFont="1" applyFill="1" applyBorder="1" applyAlignment="1">
      <alignment horizontal="center" vertical="center" textRotation="255"/>
    </xf>
    <xf numFmtId="0" fontId="1" fillId="3" borderId="51" xfId="0" applyFont="1" applyFill="1" applyBorder="1" applyAlignment="1">
      <alignment horizontal="center" vertical="center" textRotation="255"/>
    </xf>
    <xf numFmtId="0" fontId="1" fillId="3" borderId="52" xfId="0" applyFont="1" applyFill="1" applyBorder="1" applyAlignment="1">
      <alignment horizontal="center" vertical="center" textRotation="255"/>
    </xf>
    <xf numFmtId="0" fontId="0" fillId="0" borderId="5" xfId="1" applyFont="1" applyFill="1" applyBorder="1" applyAlignment="1">
      <alignment horizontal="center" vertical="center"/>
      <protection locked="0"/>
    </xf>
    <xf numFmtId="0" fontId="0" fillId="0" borderId="72" xfId="1" applyFont="1" applyFill="1" applyBorder="1" applyAlignment="1">
      <alignment horizontal="center" vertical="center"/>
      <protection locked="0"/>
    </xf>
    <xf numFmtId="0" fontId="1" fillId="0" borderId="2" xfId="1" applyFont="1" applyFill="1" applyBorder="1" applyAlignment="1">
      <alignment horizontal="center" vertical="center"/>
      <protection locked="0"/>
    </xf>
    <xf numFmtId="0" fontId="1" fillId="0" borderId="3" xfId="1" applyFont="1" applyFill="1" applyBorder="1" applyAlignment="1">
      <alignment horizontal="center" vertical="center"/>
      <protection locked="0"/>
    </xf>
    <xf numFmtId="0" fontId="1" fillId="0" borderId="70" xfId="1" applyFont="1" applyFill="1" applyBorder="1" applyAlignment="1">
      <alignment horizontal="center" vertical="center"/>
      <protection locked="0"/>
    </xf>
    <xf numFmtId="0" fontId="0" fillId="0" borderId="38" xfId="1" applyFont="1" applyFill="1" applyBorder="1" applyAlignment="1" applyProtection="1">
      <alignment horizontal="center" vertical="center"/>
    </xf>
    <xf numFmtId="0" fontId="3" fillId="0" borderId="0" xfId="0" applyFont="1" applyAlignment="1">
      <alignment horizontal="center" vertical="center"/>
    </xf>
    <xf numFmtId="0" fontId="0" fillId="0" borderId="0" xfId="0" applyAlignment="1">
      <alignment horizontal="center"/>
    </xf>
    <xf numFmtId="0" fontId="5" fillId="0" borderId="0" xfId="1" applyFont="1" applyAlignment="1" applyProtection="1">
      <alignment horizontal="center" vertical="center"/>
    </xf>
  </cellXfs>
  <cellStyles count="2">
    <cellStyle name="Hi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5</xdr:col>
      <xdr:colOff>407699</xdr:colOff>
      <xdr:row>42</xdr:row>
      <xdr:rowOff>56436</xdr:rowOff>
    </xdr:from>
    <xdr:to>
      <xdr:col>6</xdr:col>
      <xdr:colOff>195375</xdr:colOff>
      <xdr:row>43</xdr:row>
      <xdr:rowOff>190059</xdr:rowOff>
    </xdr:to>
    <xdr:sp macro="" textlink="" fLocksText="0">
      <xdr:nvSpPr>
        <xdr:cNvPr id="4" name="Arco 3">
          <a:extLst>
            <a:ext uri="{FF2B5EF4-FFF2-40B4-BE49-F238E27FC236}">
              <a16:creationId xmlns:a16="http://schemas.microsoft.com/office/drawing/2014/main" id="{00000000-0008-0000-0000-000004000000}"/>
            </a:ext>
          </a:extLst>
        </xdr:cNvPr>
        <xdr:cNvSpPr/>
      </xdr:nvSpPr>
      <xdr:spPr>
        <a:xfrm rot="19555574">
          <a:off x="3448050" y="8124825"/>
          <a:ext cx="476250" cy="323850"/>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clientData/>
  </xdr:twoCellAnchor>
  <xdr:twoCellAnchor>
    <xdr:from>
      <xdr:col>7</xdr:col>
      <xdr:colOff>411012</xdr:colOff>
      <xdr:row>42</xdr:row>
      <xdr:rowOff>51466</xdr:rowOff>
    </xdr:from>
    <xdr:to>
      <xdr:col>8</xdr:col>
      <xdr:colOff>165558</xdr:colOff>
      <xdr:row>43</xdr:row>
      <xdr:rowOff>185089</xdr:rowOff>
    </xdr:to>
    <xdr:sp macro="" textlink="" fLocksText="0">
      <xdr:nvSpPr>
        <xdr:cNvPr id="5" name="Arco 4">
          <a:extLst>
            <a:ext uri="{FF2B5EF4-FFF2-40B4-BE49-F238E27FC236}">
              <a16:creationId xmlns:a16="http://schemas.microsoft.com/office/drawing/2014/main" id="{00000000-0008-0000-0000-000005000000}"/>
            </a:ext>
          </a:extLst>
        </xdr:cNvPr>
        <xdr:cNvSpPr/>
      </xdr:nvSpPr>
      <xdr:spPr>
        <a:xfrm rot="19555574">
          <a:off x="4819650" y="8115300"/>
          <a:ext cx="438150" cy="323850"/>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clientData/>
  </xdr:twoCellAnchor>
  <xdr:twoCellAnchor>
    <xdr:from>
      <xdr:col>9</xdr:col>
      <xdr:colOff>563412</xdr:colOff>
      <xdr:row>42</xdr:row>
      <xdr:rowOff>54779</xdr:rowOff>
    </xdr:from>
    <xdr:to>
      <xdr:col>10</xdr:col>
      <xdr:colOff>127458</xdr:colOff>
      <xdr:row>43</xdr:row>
      <xdr:rowOff>188402</xdr:rowOff>
    </xdr:to>
    <xdr:sp macro="" textlink="" fLocksText="0">
      <xdr:nvSpPr>
        <xdr:cNvPr id="6" name="Arco 5">
          <a:extLst>
            <a:ext uri="{FF2B5EF4-FFF2-40B4-BE49-F238E27FC236}">
              <a16:creationId xmlns:a16="http://schemas.microsoft.com/office/drawing/2014/main" id="{00000000-0008-0000-0000-000006000000}"/>
            </a:ext>
          </a:extLst>
        </xdr:cNvPr>
        <xdr:cNvSpPr/>
      </xdr:nvSpPr>
      <xdr:spPr>
        <a:xfrm rot="19555574">
          <a:off x="6343650" y="8124825"/>
          <a:ext cx="333375" cy="323850"/>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clientData/>
  </xdr:twoCellAnchor>
  <xdr:twoCellAnchor>
    <xdr:from>
      <xdr:col>5</xdr:col>
      <xdr:colOff>550658</xdr:colOff>
      <xdr:row>44</xdr:row>
      <xdr:rowOff>781769</xdr:rowOff>
    </xdr:from>
    <xdr:to>
      <xdr:col>12</xdr:col>
      <xdr:colOff>480091</xdr:colOff>
      <xdr:row>45</xdr:row>
      <xdr:rowOff>186505</xdr:rowOff>
    </xdr:to>
    <xdr:grpSp>
      <xdr:nvGrpSpPr>
        <xdr:cNvPr id="17" name="Grupo 16">
          <a:extLst>
            <a:ext uri="{FF2B5EF4-FFF2-40B4-BE49-F238E27FC236}">
              <a16:creationId xmlns:a16="http://schemas.microsoft.com/office/drawing/2014/main" id="{00000000-0008-0000-0000-000011000000}"/>
            </a:ext>
          </a:extLst>
        </xdr:cNvPr>
        <xdr:cNvGrpSpPr>
          <a:grpSpLocks/>
        </xdr:cNvGrpSpPr>
      </xdr:nvGrpSpPr>
      <xdr:grpSpPr>
        <a:xfrm>
          <a:off x="3587875" y="9183538"/>
          <a:ext cx="5087310" cy="321292"/>
          <a:chOff x="3035698" y="8022761"/>
          <a:chExt cx="4178413" cy="450962"/>
        </a:xfrm>
      </xdr:grpSpPr>
      <xdr:sp macro="" textlink="" fLocksText="0">
        <xdr:nvSpPr>
          <xdr:cNvPr id="8" name="Arco 7">
            <a:extLst>
              <a:ext uri="{FF2B5EF4-FFF2-40B4-BE49-F238E27FC236}">
                <a16:creationId xmlns:a16="http://schemas.microsoft.com/office/drawing/2014/main" id="{00000000-0008-0000-0000-000008000000}"/>
              </a:ext>
            </a:extLst>
          </xdr:cNvPr>
          <xdr:cNvSpPr/>
        </xdr:nvSpPr>
        <xdr:spPr>
          <a:xfrm rot="8100000">
            <a:off x="3035698" y="8022761"/>
            <a:ext cx="466146" cy="411205"/>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sp macro="" textlink="" fLocksText="0">
        <xdr:nvSpPr>
          <xdr:cNvPr id="9" name="Arco 8">
            <a:extLst>
              <a:ext uri="{FF2B5EF4-FFF2-40B4-BE49-F238E27FC236}">
                <a16:creationId xmlns:a16="http://schemas.microsoft.com/office/drawing/2014/main" id="{00000000-0008-0000-0000-000009000000}"/>
              </a:ext>
            </a:extLst>
          </xdr:cNvPr>
          <xdr:cNvSpPr/>
        </xdr:nvSpPr>
        <xdr:spPr>
          <a:xfrm rot="8100000">
            <a:off x="4239990" y="8034357"/>
            <a:ext cx="466146" cy="411205"/>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sp macro="" textlink="" fLocksText="0">
        <xdr:nvSpPr>
          <xdr:cNvPr id="10" name="Arco 9">
            <a:extLst>
              <a:ext uri="{FF2B5EF4-FFF2-40B4-BE49-F238E27FC236}">
                <a16:creationId xmlns:a16="http://schemas.microsoft.com/office/drawing/2014/main" id="{00000000-0008-0000-0000-00000A000000}"/>
              </a:ext>
            </a:extLst>
          </xdr:cNvPr>
          <xdr:cNvSpPr/>
        </xdr:nvSpPr>
        <xdr:spPr>
          <a:xfrm rot="8100000">
            <a:off x="5527108" y="8062518"/>
            <a:ext cx="466146" cy="411205"/>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sp macro="" textlink="" fLocksText="0">
        <xdr:nvSpPr>
          <xdr:cNvPr id="11" name="Arco 10">
            <a:extLst>
              <a:ext uri="{FF2B5EF4-FFF2-40B4-BE49-F238E27FC236}">
                <a16:creationId xmlns:a16="http://schemas.microsoft.com/office/drawing/2014/main" id="{00000000-0008-0000-0000-00000B000000}"/>
              </a:ext>
            </a:extLst>
          </xdr:cNvPr>
          <xdr:cNvSpPr/>
        </xdr:nvSpPr>
        <xdr:spPr>
          <a:xfrm rot="8100000">
            <a:off x="6747965" y="8040983"/>
            <a:ext cx="466146" cy="411205"/>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grpSp>
    <xdr:clientData/>
  </xdr:twoCellAnchor>
  <xdr:twoCellAnchor>
    <xdr:from>
      <xdr:col>5</xdr:col>
      <xdr:colOff>397566</xdr:colOff>
      <xdr:row>47</xdr:row>
      <xdr:rowOff>41413</xdr:rowOff>
    </xdr:from>
    <xdr:to>
      <xdr:col>12</xdr:col>
      <xdr:colOff>162050</xdr:colOff>
      <xdr:row>48</xdr:row>
      <xdr:rowOff>189944</xdr:rowOff>
    </xdr:to>
    <xdr:grpSp>
      <xdr:nvGrpSpPr>
        <xdr:cNvPr id="16" name="Grupo 15">
          <a:extLst>
            <a:ext uri="{FF2B5EF4-FFF2-40B4-BE49-F238E27FC236}">
              <a16:creationId xmlns:a16="http://schemas.microsoft.com/office/drawing/2014/main" id="{00000000-0008-0000-0000-000010000000}"/>
            </a:ext>
          </a:extLst>
        </xdr:cNvPr>
        <xdr:cNvGrpSpPr>
          <a:grpSpLocks/>
        </xdr:cNvGrpSpPr>
      </xdr:nvGrpSpPr>
      <xdr:grpSpPr>
        <a:xfrm>
          <a:off x="3434783" y="9737144"/>
          <a:ext cx="4922361" cy="337234"/>
          <a:chOff x="2211457" y="8630478"/>
          <a:chExt cx="4013463" cy="339031"/>
        </a:xfrm>
      </xdr:grpSpPr>
      <xdr:sp macro="" textlink="" fLocksText="0">
        <xdr:nvSpPr>
          <xdr:cNvPr id="12" name="Arco 11">
            <a:extLst>
              <a:ext uri="{FF2B5EF4-FFF2-40B4-BE49-F238E27FC236}">
                <a16:creationId xmlns:a16="http://schemas.microsoft.com/office/drawing/2014/main" id="{00000000-0008-0000-0000-00000C000000}"/>
              </a:ext>
            </a:extLst>
          </xdr:cNvPr>
          <xdr:cNvSpPr/>
        </xdr:nvSpPr>
        <xdr:spPr>
          <a:xfrm rot="19555574">
            <a:off x="2211457" y="8635448"/>
            <a:ext cx="342611" cy="324123"/>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sp macro="" textlink="" fLocksText="0">
        <xdr:nvSpPr>
          <xdr:cNvPr id="13" name="Arco 12">
            <a:extLst>
              <a:ext uri="{FF2B5EF4-FFF2-40B4-BE49-F238E27FC236}">
                <a16:creationId xmlns:a16="http://schemas.microsoft.com/office/drawing/2014/main" id="{00000000-0008-0000-0000-00000D000000}"/>
              </a:ext>
            </a:extLst>
          </xdr:cNvPr>
          <xdr:cNvSpPr/>
        </xdr:nvSpPr>
        <xdr:spPr>
          <a:xfrm rot="19555574">
            <a:off x="3341205" y="8630478"/>
            <a:ext cx="342611" cy="324123"/>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sp macro="" textlink="" fLocksText="0">
        <xdr:nvSpPr>
          <xdr:cNvPr id="14" name="Arco 13">
            <a:extLst>
              <a:ext uri="{FF2B5EF4-FFF2-40B4-BE49-F238E27FC236}">
                <a16:creationId xmlns:a16="http://schemas.microsoft.com/office/drawing/2014/main" id="{00000000-0008-0000-0000-00000E000000}"/>
              </a:ext>
            </a:extLst>
          </xdr:cNvPr>
          <xdr:cNvSpPr/>
        </xdr:nvSpPr>
        <xdr:spPr>
          <a:xfrm rot="19555574">
            <a:off x="4702866" y="8633791"/>
            <a:ext cx="342611" cy="324123"/>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sp macro="" textlink="" fLocksText="0">
        <xdr:nvSpPr>
          <xdr:cNvPr id="15" name="Arco 14">
            <a:extLst>
              <a:ext uri="{FF2B5EF4-FFF2-40B4-BE49-F238E27FC236}">
                <a16:creationId xmlns:a16="http://schemas.microsoft.com/office/drawing/2014/main" id="{00000000-0008-0000-0000-00000F000000}"/>
              </a:ext>
            </a:extLst>
          </xdr:cNvPr>
          <xdr:cNvSpPr/>
        </xdr:nvSpPr>
        <xdr:spPr>
          <a:xfrm rot="19555574">
            <a:off x="5882309" y="8645386"/>
            <a:ext cx="342611" cy="324123"/>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grpSp>
    <xdr:clientData/>
  </xdr:twoCellAnchor>
  <xdr:twoCellAnchor>
    <xdr:from>
      <xdr:col>5</xdr:col>
      <xdr:colOff>422336</xdr:colOff>
      <xdr:row>51</xdr:row>
      <xdr:rowOff>382079</xdr:rowOff>
    </xdr:from>
    <xdr:to>
      <xdr:col>12</xdr:col>
      <xdr:colOff>305519</xdr:colOff>
      <xdr:row>52</xdr:row>
      <xdr:rowOff>323491</xdr:rowOff>
    </xdr:to>
    <xdr:grpSp>
      <xdr:nvGrpSpPr>
        <xdr:cNvPr id="28" name="Grupo 27">
          <a:extLst>
            <a:ext uri="{FF2B5EF4-FFF2-40B4-BE49-F238E27FC236}">
              <a16:creationId xmlns:a16="http://schemas.microsoft.com/office/drawing/2014/main" id="{00000000-0008-0000-0000-00001C000000}"/>
            </a:ext>
          </a:extLst>
        </xdr:cNvPr>
        <xdr:cNvGrpSpPr>
          <a:grpSpLocks/>
        </xdr:cNvGrpSpPr>
      </xdr:nvGrpSpPr>
      <xdr:grpSpPr>
        <a:xfrm>
          <a:off x="3459553" y="10832621"/>
          <a:ext cx="5041060" cy="390705"/>
          <a:chOff x="3035698" y="8022761"/>
          <a:chExt cx="4178413" cy="450962"/>
        </a:xfrm>
      </xdr:grpSpPr>
      <xdr:sp macro="" textlink="" fLocksText="0">
        <xdr:nvSpPr>
          <xdr:cNvPr id="29" name="Arco 28">
            <a:extLst>
              <a:ext uri="{FF2B5EF4-FFF2-40B4-BE49-F238E27FC236}">
                <a16:creationId xmlns:a16="http://schemas.microsoft.com/office/drawing/2014/main" id="{00000000-0008-0000-0000-00001D000000}"/>
              </a:ext>
            </a:extLst>
          </xdr:cNvPr>
          <xdr:cNvSpPr/>
        </xdr:nvSpPr>
        <xdr:spPr>
          <a:xfrm rot="8100000">
            <a:off x="3035698" y="8022761"/>
            <a:ext cx="466146" cy="411205"/>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sp macro="" textlink="" fLocksText="0">
        <xdr:nvSpPr>
          <xdr:cNvPr id="30" name="Arco 29">
            <a:extLst>
              <a:ext uri="{FF2B5EF4-FFF2-40B4-BE49-F238E27FC236}">
                <a16:creationId xmlns:a16="http://schemas.microsoft.com/office/drawing/2014/main" id="{00000000-0008-0000-0000-00001E000000}"/>
              </a:ext>
            </a:extLst>
          </xdr:cNvPr>
          <xdr:cNvSpPr/>
        </xdr:nvSpPr>
        <xdr:spPr>
          <a:xfrm rot="8100000">
            <a:off x="4239990" y="8034357"/>
            <a:ext cx="466146" cy="411205"/>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sp macro="" textlink="" fLocksText="0">
        <xdr:nvSpPr>
          <xdr:cNvPr id="31" name="Arco 30">
            <a:extLst>
              <a:ext uri="{FF2B5EF4-FFF2-40B4-BE49-F238E27FC236}">
                <a16:creationId xmlns:a16="http://schemas.microsoft.com/office/drawing/2014/main" id="{00000000-0008-0000-0000-00001F000000}"/>
              </a:ext>
            </a:extLst>
          </xdr:cNvPr>
          <xdr:cNvSpPr/>
        </xdr:nvSpPr>
        <xdr:spPr>
          <a:xfrm rot="8100000">
            <a:off x="5527108" y="8062518"/>
            <a:ext cx="466146" cy="411205"/>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sp macro="" textlink="" fLocksText="0">
        <xdr:nvSpPr>
          <xdr:cNvPr id="32" name="Arco 31">
            <a:extLst>
              <a:ext uri="{FF2B5EF4-FFF2-40B4-BE49-F238E27FC236}">
                <a16:creationId xmlns:a16="http://schemas.microsoft.com/office/drawing/2014/main" id="{00000000-0008-0000-0000-000020000000}"/>
              </a:ext>
            </a:extLst>
          </xdr:cNvPr>
          <xdr:cNvSpPr/>
        </xdr:nvSpPr>
        <xdr:spPr>
          <a:xfrm rot="8100000">
            <a:off x="6747965" y="8040983"/>
            <a:ext cx="466146" cy="411205"/>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grpSp>
    <xdr:clientData/>
  </xdr:twoCellAnchor>
  <xdr:twoCellAnchor editAs="oneCell">
    <xdr:from>
      <xdr:col>0</xdr:col>
      <xdr:colOff>28575</xdr:colOff>
      <xdr:row>0</xdr:row>
      <xdr:rowOff>95249</xdr:rowOff>
    </xdr:from>
    <xdr:to>
      <xdr:col>1</xdr:col>
      <xdr:colOff>673032</xdr:colOff>
      <xdr:row>2</xdr:row>
      <xdr:rowOff>190499</xdr:rowOff>
    </xdr:to>
    <xdr:pic>
      <xdr:nvPicPr>
        <xdr:cNvPr id="19" name="Imagem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28575" y="95250"/>
          <a:ext cx="885825" cy="619125"/>
        </a:xfrm>
        <a:prstGeom prst="rect">
          <a:avLst/>
        </a:prstGeom>
      </xdr:spPr>
    </xdr:pic>
    <xdr:clientData/>
  </xdr:twoCellAnchor>
  <xdr:twoCellAnchor>
    <xdr:from>
      <xdr:col>9</xdr:col>
      <xdr:colOff>563412</xdr:colOff>
      <xdr:row>42</xdr:row>
      <xdr:rowOff>54779</xdr:rowOff>
    </xdr:from>
    <xdr:to>
      <xdr:col>10</xdr:col>
      <xdr:colOff>127458</xdr:colOff>
      <xdr:row>43</xdr:row>
      <xdr:rowOff>188402</xdr:rowOff>
    </xdr:to>
    <xdr:sp macro="" textlink="" fLocksText="0">
      <xdr:nvSpPr>
        <xdr:cNvPr id="2" name="Arco 1">
          <a:extLst>
            <a:ext uri="{FF2B5EF4-FFF2-40B4-BE49-F238E27FC236}">
              <a16:creationId xmlns:a16="http://schemas.microsoft.com/office/drawing/2014/main" id="{47CE88A5-1A49-41D9-BE15-C36C114D4B12}"/>
            </a:ext>
          </a:extLst>
        </xdr:cNvPr>
        <xdr:cNvSpPr/>
      </xdr:nvSpPr>
      <xdr:spPr>
        <a:xfrm rot="19555574">
          <a:off x="6545112" y="8122454"/>
          <a:ext cx="268896" cy="324123"/>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clientData/>
  </xdr:twoCellAnchor>
  <xdr:twoCellAnchor>
    <xdr:from>
      <xdr:col>11</xdr:col>
      <xdr:colOff>563412</xdr:colOff>
      <xdr:row>42</xdr:row>
      <xdr:rowOff>54779</xdr:rowOff>
    </xdr:from>
    <xdr:to>
      <xdr:col>12</xdr:col>
      <xdr:colOff>127458</xdr:colOff>
      <xdr:row>43</xdr:row>
      <xdr:rowOff>188402</xdr:rowOff>
    </xdr:to>
    <xdr:sp macro="" textlink="" fLocksText="0">
      <xdr:nvSpPr>
        <xdr:cNvPr id="3" name="Arco 2">
          <a:extLst>
            <a:ext uri="{FF2B5EF4-FFF2-40B4-BE49-F238E27FC236}">
              <a16:creationId xmlns:a16="http://schemas.microsoft.com/office/drawing/2014/main" id="{62BA2F38-6DD9-466F-B20E-1753A5471C9B}"/>
            </a:ext>
          </a:extLst>
        </xdr:cNvPr>
        <xdr:cNvSpPr/>
      </xdr:nvSpPr>
      <xdr:spPr>
        <a:xfrm rot="19555574">
          <a:off x="7935762" y="8122454"/>
          <a:ext cx="230796" cy="324123"/>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clientData/>
  </xdr:twoCellAnchor>
  <xdr:twoCellAnchor>
    <xdr:from>
      <xdr:col>9</xdr:col>
      <xdr:colOff>563412</xdr:colOff>
      <xdr:row>42</xdr:row>
      <xdr:rowOff>54779</xdr:rowOff>
    </xdr:from>
    <xdr:to>
      <xdr:col>10</xdr:col>
      <xdr:colOff>127458</xdr:colOff>
      <xdr:row>43</xdr:row>
      <xdr:rowOff>188402</xdr:rowOff>
    </xdr:to>
    <xdr:sp macro="" textlink="" fLocksText="0">
      <xdr:nvSpPr>
        <xdr:cNvPr id="18" name="Arco 17">
          <a:extLst>
            <a:ext uri="{FF2B5EF4-FFF2-40B4-BE49-F238E27FC236}">
              <a16:creationId xmlns:a16="http://schemas.microsoft.com/office/drawing/2014/main" id="{787418B6-E935-45B3-8B6C-8D3B20DBAB22}"/>
            </a:ext>
          </a:extLst>
        </xdr:cNvPr>
        <xdr:cNvSpPr/>
      </xdr:nvSpPr>
      <xdr:spPr>
        <a:xfrm rot="19555574">
          <a:off x="6545112" y="8122454"/>
          <a:ext cx="268896" cy="324123"/>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clientData/>
  </xdr:twoCellAnchor>
  <xdr:twoCellAnchor>
    <xdr:from>
      <xdr:col>5</xdr:col>
      <xdr:colOff>397566</xdr:colOff>
      <xdr:row>47</xdr:row>
      <xdr:rowOff>41413</xdr:rowOff>
    </xdr:from>
    <xdr:to>
      <xdr:col>12</xdr:col>
      <xdr:colOff>162050</xdr:colOff>
      <xdr:row>48</xdr:row>
      <xdr:rowOff>189944</xdr:rowOff>
    </xdr:to>
    <xdr:grpSp>
      <xdr:nvGrpSpPr>
        <xdr:cNvPr id="20" name="Grupo 15">
          <a:extLst>
            <a:ext uri="{FF2B5EF4-FFF2-40B4-BE49-F238E27FC236}">
              <a16:creationId xmlns:a16="http://schemas.microsoft.com/office/drawing/2014/main" id="{87C6C05D-2C9A-477B-A011-B7F6709CDBB8}"/>
            </a:ext>
          </a:extLst>
        </xdr:cNvPr>
        <xdr:cNvGrpSpPr>
          <a:grpSpLocks/>
        </xdr:cNvGrpSpPr>
      </xdr:nvGrpSpPr>
      <xdr:grpSpPr>
        <a:xfrm>
          <a:off x="3434783" y="9737144"/>
          <a:ext cx="4922361" cy="337234"/>
          <a:chOff x="2211457" y="8630478"/>
          <a:chExt cx="4013463" cy="339031"/>
        </a:xfrm>
      </xdr:grpSpPr>
      <xdr:sp macro="" textlink="" fLocksText="0">
        <xdr:nvSpPr>
          <xdr:cNvPr id="21" name="Arco 20">
            <a:extLst>
              <a:ext uri="{FF2B5EF4-FFF2-40B4-BE49-F238E27FC236}">
                <a16:creationId xmlns:a16="http://schemas.microsoft.com/office/drawing/2014/main" id="{D98F90F8-7B9C-13BD-DD5B-8A5EEA38B887}"/>
              </a:ext>
            </a:extLst>
          </xdr:cNvPr>
          <xdr:cNvSpPr/>
        </xdr:nvSpPr>
        <xdr:spPr>
          <a:xfrm rot="19555574">
            <a:off x="2211457" y="8635448"/>
            <a:ext cx="342611" cy="324123"/>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sp macro="" textlink="" fLocksText="0">
        <xdr:nvSpPr>
          <xdr:cNvPr id="22" name="Arco 21">
            <a:extLst>
              <a:ext uri="{FF2B5EF4-FFF2-40B4-BE49-F238E27FC236}">
                <a16:creationId xmlns:a16="http://schemas.microsoft.com/office/drawing/2014/main" id="{1348AE49-B0BD-CDAE-E24B-C8DD8B889979}"/>
              </a:ext>
            </a:extLst>
          </xdr:cNvPr>
          <xdr:cNvSpPr/>
        </xdr:nvSpPr>
        <xdr:spPr>
          <a:xfrm rot="19555574">
            <a:off x="3341205" y="8630478"/>
            <a:ext cx="342611" cy="324123"/>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sp macro="" textlink="" fLocksText="0">
        <xdr:nvSpPr>
          <xdr:cNvPr id="23" name="Arco 22">
            <a:extLst>
              <a:ext uri="{FF2B5EF4-FFF2-40B4-BE49-F238E27FC236}">
                <a16:creationId xmlns:a16="http://schemas.microsoft.com/office/drawing/2014/main" id="{84B008A4-DCBD-00DD-0EA5-D11FBC0D8E24}"/>
              </a:ext>
            </a:extLst>
          </xdr:cNvPr>
          <xdr:cNvSpPr/>
        </xdr:nvSpPr>
        <xdr:spPr>
          <a:xfrm rot="19555574">
            <a:off x="4702866" y="8633791"/>
            <a:ext cx="342611" cy="324123"/>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sp macro="" textlink="" fLocksText="0">
        <xdr:nvSpPr>
          <xdr:cNvPr id="24" name="Arco 23">
            <a:extLst>
              <a:ext uri="{FF2B5EF4-FFF2-40B4-BE49-F238E27FC236}">
                <a16:creationId xmlns:a16="http://schemas.microsoft.com/office/drawing/2014/main" id="{6D006260-9926-273E-EC2B-78F0E312DE52}"/>
              </a:ext>
            </a:extLst>
          </xdr:cNvPr>
          <xdr:cNvSpPr/>
        </xdr:nvSpPr>
        <xdr:spPr>
          <a:xfrm rot="19555574">
            <a:off x="5882309" y="8645386"/>
            <a:ext cx="342611" cy="324123"/>
          </a:xfrm>
          <a:prstGeom prst="arc">
            <a:avLst>
              <a:gd name="adj1" fmla="val 14053150"/>
              <a:gd name="adj2" fmla="val 790322"/>
            </a:avLst>
          </a:prstGeom>
          <a:ln>
            <a:solidFill>
              <a:schemeClr val="accent1">
                <a:shade val="95000"/>
                <a:satMod val="105000"/>
              </a:schemeClr>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pt-B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38100</xdr:rowOff>
    </xdr:from>
    <xdr:to>
      <xdr:col>1</xdr:col>
      <xdr:colOff>142875</xdr:colOff>
      <xdr:row>0</xdr:row>
      <xdr:rowOff>533400</xdr:rowOff>
    </xdr:to>
    <xdr:pic>
      <xdr:nvPicPr>
        <xdr:cNvPr id="3493" name="Picture 346" descr="LOGO WEG_word">
          <a:extLst>
            <a:ext uri="{FF2B5EF4-FFF2-40B4-BE49-F238E27FC236}">
              <a16:creationId xmlns:a16="http://schemas.microsoft.com/office/drawing/2014/main" id="{00000000-0008-0000-0100-0000A50D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38100" y="38100"/>
          <a:ext cx="71437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66673</xdr:colOff>
      <xdr:row>1</xdr:row>
      <xdr:rowOff>60496</xdr:rowOff>
    </xdr:from>
    <xdr:to>
      <xdr:col>6</xdr:col>
      <xdr:colOff>281048</xdr:colOff>
      <xdr:row>16</xdr:row>
      <xdr:rowOff>152399</xdr:rowOff>
    </xdr:to>
    <xdr:pic>
      <xdr:nvPicPr>
        <xdr:cNvPr id="3" name="Imagem 1">
          <a:extLst>
            <a:ext uri="{FF2B5EF4-FFF2-40B4-BE49-F238E27FC236}">
              <a16:creationId xmlns:a16="http://schemas.microsoft.com/office/drawing/2014/main" id="{045006D9-92EC-9B2D-B49B-F9DEB7F0D8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673" y="631996"/>
          <a:ext cx="3871975" cy="25112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323850</xdr:colOff>
      <xdr:row>1</xdr:row>
      <xdr:rowOff>57150</xdr:rowOff>
    </xdr:from>
    <xdr:to>
      <xdr:col>14</xdr:col>
      <xdr:colOff>581026</xdr:colOff>
      <xdr:row>17</xdr:row>
      <xdr:rowOff>0</xdr:rowOff>
    </xdr:to>
    <xdr:pic>
      <xdr:nvPicPr>
        <xdr:cNvPr id="4" name="Imagem 2">
          <a:extLst>
            <a:ext uri="{FF2B5EF4-FFF2-40B4-BE49-F238E27FC236}">
              <a16:creationId xmlns:a16="http://schemas.microsoft.com/office/drawing/2014/main" id="{F8CD7FEC-DA86-FC02-CEF8-B8783DF2B8E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981450" y="628650"/>
          <a:ext cx="4638676" cy="2524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19</xdr:row>
      <xdr:rowOff>0</xdr:rowOff>
    </xdr:from>
    <xdr:to>
      <xdr:col>15</xdr:col>
      <xdr:colOff>61791</xdr:colOff>
      <xdr:row>42</xdr:row>
      <xdr:rowOff>19050</xdr:rowOff>
    </xdr:to>
    <xdr:pic>
      <xdr:nvPicPr>
        <xdr:cNvPr id="2" name="Imagem 1">
          <a:extLst>
            <a:ext uri="{FF2B5EF4-FFF2-40B4-BE49-F238E27FC236}">
              <a16:creationId xmlns:a16="http://schemas.microsoft.com/office/drawing/2014/main" id="{C09F2295-36BC-4A4C-9DA4-27E4D4DE8230}"/>
            </a:ext>
          </a:extLst>
        </xdr:cNvPr>
        <xdr:cNvPicPr>
          <a:picLocks noChangeAspect="1"/>
        </xdr:cNvPicPr>
      </xdr:nvPicPr>
      <xdr:blipFill>
        <a:blip xmlns:r="http://schemas.openxmlformats.org/officeDocument/2006/relationships" r:embed="rId4"/>
        <a:stretch>
          <a:fillRect/>
        </a:stretch>
      </xdr:blipFill>
      <xdr:spPr>
        <a:xfrm>
          <a:off x="0" y="3476625"/>
          <a:ext cx="8710491" cy="3752850"/>
        </a:xfrm>
        <a:prstGeom prst="rect">
          <a:avLst/>
        </a:prstGeom>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jeann@weg.net"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A7941-FD44-4768-A8EB-9F51A953A1B8}">
  <sheetPr codeName="Plan1">
    <pageSetUpPr fitToPage="1"/>
  </sheetPr>
  <dimension ref="A1:R119"/>
  <sheetViews>
    <sheetView showGridLines="0" tabSelected="1" zoomScale="106" zoomScaleNormal="106" zoomScaleSheetLayoutView="100" workbookViewId="0">
      <selection activeCell="H28" sqref="H28:M28"/>
    </sheetView>
  </sheetViews>
  <sheetFormatPr defaultColWidth="9.140625" defaultRowHeight="12.75" x14ac:dyDescent="0.2"/>
  <cols>
    <col min="1" max="1" width="3.5703125" style="5" customWidth="1"/>
    <col min="2" max="2" width="10.5703125" style="5" customWidth="1"/>
    <col min="3" max="3" width="4.28515625" style="5" customWidth="1"/>
    <col min="4" max="4" width="16.85546875" style="5" customWidth="1"/>
    <col min="5" max="8" width="10.28515625" style="5" customWidth="1"/>
    <col min="9" max="9" width="12.7109375" style="5" customWidth="1"/>
    <col min="10" max="10" width="13.42578125" style="5" customWidth="1"/>
    <col min="11" max="12" width="10.28515625" style="5" customWidth="1"/>
    <col min="13" max="13" width="21.28515625" style="5" customWidth="1"/>
    <col min="14" max="14" width="12.85546875" style="5" customWidth="1"/>
    <col min="15" max="15" width="10.5703125" style="5" bestFit="1" customWidth="1"/>
    <col min="16" max="16" width="9.140625" style="5" hidden="1" customWidth="1"/>
    <col min="17" max="16384" width="9.140625" style="5"/>
  </cols>
  <sheetData>
    <row r="1" spans="1:18" ht="20.25" customHeight="1" x14ac:dyDescent="0.2">
      <c r="A1" s="276"/>
      <c r="B1" s="277"/>
      <c r="C1" s="122">
        <f>IF(O5="Português",1,2)</f>
        <v>1</v>
      </c>
      <c r="D1" s="124" t="str">
        <f>IF(C1=1,"RELATÓRIO DE NÃO CONFORMIDADE DE MATERIAIS ADQUIRIDOS(8D)","NONCONFORMITY REPORT OF ACQUIRED MATERIALS(8D)")</f>
        <v>RELATÓRIO DE NÃO CONFORMIDADE DE MATERIAIS ADQUIRIDOS(8D)</v>
      </c>
      <c r="E1" s="124"/>
      <c r="F1" s="124"/>
      <c r="G1" s="124"/>
      <c r="H1" s="125"/>
      <c r="I1" s="17"/>
      <c r="J1" s="18" t="str">
        <f>IF(C1=1,"Recebimento","Receiving")</f>
        <v>Recebimento</v>
      </c>
      <c r="K1" s="117">
        <v>45537</v>
      </c>
      <c r="L1" s="118"/>
      <c r="M1" s="119"/>
      <c r="N1" s="4"/>
      <c r="O1" s="4"/>
      <c r="P1" s="4"/>
      <c r="Q1" s="4"/>
      <c r="R1" s="4"/>
    </row>
    <row r="2" spans="1:18" ht="21" customHeight="1" x14ac:dyDescent="0.2">
      <c r="A2" s="278"/>
      <c r="B2" s="279"/>
      <c r="C2" s="123"/>
      <c r="D2" s="126"/>
      <c r="E2" s="126"/>
      <c r="F2" s="126"/>
      <c r="G2" s="126"/>
      <c r="H2" s="127"/>
      <c r="I2" s="11"/>
      <c r="J2" s="12" t="str">
        <f>IF(C1=1,"Produção","Production")</f>
        <v>Produção</v>
      </c>
      <c r="K2" s="120"/>
      <c r="L2" s="120"/>
      <c r="M2" s="121"/>
      <c r="N2" s="4"/>
      <c r="O2" s="4"/>
      <c r="P2" s="4"/>
      <c r="Q2" s="4"/>
      <c r="R2" s="4"/>
    </row>
    <row r="3" spans="1:18" ht="18.95" customHeight="1" x14ac:dyDescent="0.2">
      <c r="A3" s="278"/>
      <c r="B3" s="279"/>
      <c r="C3" s="13"/>
      <c r="D3" s="126"/>
      <c r="E3" s="126"/>
      <c r="F3" s="126"/>
      <c r="G3" s="126"/>
      <c r="H3" s="127"/>
      <c r="I3" s="14"/>
      <c r="J3" s="12" t="str">
        <f>IF(C1=1,"Cliente Final","Customer")</f>
        <v>Cliente Final</v>
      </c>
      <c r="K3" s="128" t="s">
        <v>9</v>
      </c>
      <c r="L3" s="129"/>
      <c r="M3" s="130"/>
      <c r="N3" s="4"/>
      <c r="O3" s="4"/>
      <c r="P3" s="4"/>
      <c r="Q3" s="4"/>
      <c r="R3" s="4"/>
    </row>
    <row r="4" spans="1:18" ht="18.95" customHeight="1" thickBot="1" x14ac:dyDescent="0.25">
      <c r="A4" s="61" t="str">
        <f>IF(C1=1,"Registro de Não conformidade    -","Nonconformity Report     -")</f>
        <v>Registro de Não conformidade    -</v>
      </c>
      <c r="B4" s="62"/>
      <c r="C4" s="62"/>
      <c r="D4" s="62"/>
      <c r="E4" s="62"/>
      <c r="F4" s="62"/>
      <c r="G4" s="62"/>
      <c r="H4" s="62"/>
      <c r="I4" s="136">
        <v>215571003</v>
      </c>
      <c r="J4" s="136"/>
      <c r="K4" s="136"/>
      <c r="L4" s="136"/>
      <c r="M4" s="137"/>
      <c r="N4" s="4"/>
      <c r="O4" s="4"/>
      <c r="P4" s="4"/>
      <c r="Q4" s="4"/>
      <c r="R4" s="4"/>
    </row>
    <row r="5" spans="1:18" ht="15" customHeight="1" x14ac:dyDescent="0.2">
      <c r="A5" s="63" t="str">
        <f>IF(C1=1,"Fornecedor","Supplier")</f>
        <v>Fornecedor</v>
      </c>
      <c r="B5" s="64"/>
      <c r="C5" s="64"/>
      <c r="D5" s="65"/>
      <c r="E5" s="148" t="s">
        <v>10</v>
      </c>
      <c r="F5" s="149"/>
      <c r="G5" s="150"/>
      <c r="H5" s="147" t="str">
        <f>IF(C1=1,"Contato","Contact")</f>
        <v>Contato</v>
      </c>
      <c r="I5" s="147"/>
      <c r="J5" s="141" t="s">
        <v>11</v>
      </c>
      <c r="K5" s="142"/>
      <c r="L5" s="142"/>
      <c r="M5" s="143"/>
      <c r="N5" s="34" t="s">
        <v>8</v>
      </c>
      <c r="O5" s="32" t="s">
        <v>1</v>
      </c>
      <c r="P5" s="4" t="s">
        <v>1</v>
      </c>
      <c r="Q5" s="4"/>
      <c r="R5" s="4"/>
    </row>
    <row r="6" spans="1:18" ht="15" customHeight="1" thickBot="1" x14ac:dyDescent="0.25">
      <c r="A6" s="66" t="str">
        <f>IF(C1=1,"Material","Material")</f>
        <v>Material</v>
      </c>
      <c r="B6" s="67"/>
      <c r="C6" s="67"/>
      <c r="D6" s="68"/>
      <c r="E6" s="138" t="s">
        <v>24</v>
      </c>
      <c r="F6" s="139"/>
      <c r="G6" s="140"/>
      <c r="H6" s="188" t="str">
        <f>IF(C1=1,"Telefone","Phone")</f>
        <v>Telefone</v>
      </c>
      <c r="I6" s="188"/>
      <c r="J6" s="144" t="s">
        <v>12</v>
      </c>
      <c r="K6" s="145"/>
      <c r="L6" s="145"/>
      <c r="M6" s="146"/>
      <c r="N6" s="35"/>
      <c r="O6" s="33"/>
      <c r="P6" s="4" t="s">
        <v>2</v>
      </c>
      <c r="Q6" s="4"/>
      <c r="R6" s="4"/>
    </row>
    <row r="7" spans="1:18" ht="15" customHeight="1" x14ac:dyDescent="0.2">
      <c r="A7" s="66" t="str">
        <f>IF(C1=1,"Especificação","Specification")</f>
        <v>Especificação</v>
      </c>
      <c r="B7" s="67"/>
      <c r="C7" s="67"/>
      <c r="D7" s="68"/>
      <c r="E7" s="46"/>
      <c r="F7" s="47"/>
      <c r="G7" s="48"/>
      <c r="H7" s="42" t="s">
        <v>0</v>
      </c>
      <c r="I7" s="42"/>
      <c r="J7" s="43"/>
      <c r="K7" s="44"/>
      <c r="L7" s="44"/>
      <c r="M7" s="45"/>
      <c r="N7" s="4"/>
      <c r="O7" s="4"/>
      <c r="P7" s="4"/>
      <c r="Q7" s="4"/>
      <c r="R7" s="4"/>
    </row>
    <row r="8" spans="1:18" ht="15" customHeight="1" x14ac:dyDescent="0.2">
      <c r="A8" s="66" t="str">
        <f>IF(C1=1,"Ordem Compra/Pos.","Purchase Order/Pos.")</f>
        <v>Ordem Compra/Pos.</v>
      </c>
      <c r="B8" s="67"/>
      <c r="C8" s="67"/>
      <c r="D8" s="68"/>
      <c r="E8" s="46" t="s">
        <v>47</v>
      </c>
      <c r="F8" s="47"/>
      <c r="G8" s="48"/>
      <c r="H8" s="42" t="str">
        <f>IF(C1=1,"Lote WEG","WEG Batch")</f>
        <v>Lote WEG</v>
      </c>
      <c r="I8" s="42"/>
      <c r="J8" s="43">
        <v>10019632175</v>
      </c>
      <c r="K8" s="44"/>
      <c r="L8" s="44"/>
      <c r="M8" s="45"/>
      <c r="N8" s="15" t="str">
        <f>IF(C1=1,"Ocorrência","Occurrence")</f>
        <v>Ocorrência</v>
      </c>
      <c r="O8" s="15" t="s">
        <v>3</v>
      </c>
      <c r="P8" s="4"/>
      <c r="Q8" s="4"/>
      <c r="R8" s="4"/>
    </row>
    <row r="9" spans="1:18" ht="15" customHeight="1" x14ac:dyDescent="0.2">
      <c r="A9" s="66" t="str">
        <f>IF(C1=1,"Nota Fiscal","Invoice")</f>
        <v>Nota Fiscal</v>
      </c>
      <c r="B9" s="67"/>
      <c r="C9" s="67"/>
      <c r="D9" s="68"/>
      <c r="E9" s="46" t="s">
        <v>48</v>
      </c>
      <c r="F9" s="47"/>
      <c r="G9" s="48"/>
      <c r="H9" s="42" t="str">
        <f>IF(C1=1,"Lote Fornecedor","Supplier Batch")</f>
        <v>Lote Fornecedor</v>
      </c>
      <c r="I9" s="42"/>
      <c r="J9" s="43">
        <v>90262776</v>
      </c>
      <c r="K9" s="44"/>
      <c r="L9" s="44"/>
      <c r="M9" s="45"/>
      <c r="N9" s="15" t="str">
        <f>IF(C1=1,"Detecção"," Detection")</f>
        <v>Detecção</v>
      </c>
      <c r="O9" s="15" t="s">
        <v>4</v>
      </c>
      <c r="P9" s="4"/>
      <c r="Q9" s="4"/>
      <c r="R9" s="4"/>
    </row>
    <row r="10" spans="1:18" ht="15" customHeight="1" x14ac:dyDescent="0.2">
      <c r="A10" s="66" t="str">
        <f>IF(C1=1,"Data Digitação da NF","Invoice Typing Date")</f>
        <v>Data Digitação da NF</v>
      </c>
      <c r="B10" s="67"/>
      <c r="C10" s="67"/>
      <c r="D10" s="68"/>
      <c r="E10" s="131">
        <v>45537</v>
      </c>
      <c r="F10" s="47"/>
      <c r="G10" s="48"/>
      <c r="H10" s="42" t="str">
        <f>IF(C1=1,"Quantidade Lote","Batch Qty.")</f>
        <v>Quantidade Lote</v>
      </c>
      <c r="I10" s="42"/>
      <c r="J10" s="43" t="s">
        <v>45</v>
      </c>
      <c r="K10" s="44"/>
      <c r="L10" s="44"/>
      <c r="M10" s="45"/>
      <c r="N10" s="4"/>
      <c r="O10" s="4"/>
      <c r="P10" s="4"/>
      <c r="Q10" s="4"/>
      <c r="R10" s="4"/>
    </row>
    <row r="11" spans="1:18" ht="15" customHeight="1" x14ac:dyDescent="0.2">
      <c r="A11" s="66" t="str">
        <f>IF(C1=1,"Quantidade Defeituosa","Defective Qty.")</f>
        <v>Quantidade Defeituosa</v>
      </c>
      <c r="B11" s="67"/>
      <c r="C11" s="67"/>
      <c r="D11" s="68"/>
      <c r="E11" s="196" t="s">
        <v>46</v>
      </c>
      <c r="F11" s="197"/>
      <c r="G11" s="198"/>
      <c r="H11" s="147" t="str">
        <f>IF(C1=1,"Disposição","Usage Decision (UD)")</f>
        <v>Disposição</v>
      </c>
      <c r="I11" s="147"/>
      <c r="J11" s="151" t="s">
        <v>22</v>
      </c>
      <c r="K11" s="152"/>
      <c r="L11" s="152"/>
      <c r="M11" s="153"/>
      <c r="N11" s="4"/>
      <c r="O11" s="4"/>
      <c r="P11" s="4"/>
      <c r="Q11" s="4"/>
      <c r="R11" s="4"/>
    </row>
    <row r="12" spans="1:18" ht="13.7" customHeight="1" thickBot="1" x14ac:dyDescent="0.25">
      <c r="A12" s="193" t="str">
        <f>IF(C1=1,"Nota Fiscal Devolução","Return Invoice")</f>
        <v>Nota Fiscal Devolução</v>
      </c>
      <c r="B12" s="194"/>
      <c r="C12" s="194"/>
      <c r="D12" s="195"/>
      <c r="E12" s="154"/>
      <c r="F12" s="155"/>
      <c r="G12" s="156"/>
      <c r="H12" s="132" t="str">
        <f>IF(C1=1,"Quantidade Rejeitada","Rejected Qty.")</f>
        <v>Quantidade Rejeitada</v>
      </c>
      <c r="I12" s="132"/>
      <c r="J12" s="133">
        <v>100</v>
      </c>
      <c r="K12" s="134"/>
      <c r="L12" s="134"/>
      <c r="M12" s="135"/>
      <c r="N12" s="4"/>
      <c r="O12" s="4"/>
      <c r="P12" s="4"/>
      <c r="Q12" s="4"/>
      <c r="R12" s="4"/>
    </row>
    <row r="13" spans="1:18" ht="15" customHeight="1" x14ac:dyDescent="0.2">
      <c r="A13" s="73" t="str">
        <f>IF(C1=1,"1. Descrição da Não Conformidade","1. Nonconformity Description")</f>
        <v>1. Descrição da Não Conformidade</v>
      </c>
      <c r="B13" s="74"/>
      <c r="C13" s="74"/>
      <c r="D13" s="74"/>
      <c r="E13" s="75"/>
      <c r="F13" s="75"/>
      <c r="G13" s="75"/>
      <c r="H13" s="75"/>
      <c r="I13" s="75"/>
      <c r="J13" s="75"/>
      <c r="K13" s="75"/>
      <c r="L13" s="75"/>
      <c r="M13" s="76"/>
      <c r="N13" s="4"/>
      <c r="O13" s="4"/>
      <c r="P13" s="4"/>
      <c r="Q13" s="4"/>
      <c r="R13" s="4"/>
    </row>
    <row r="14" spans="1:18" ht="15" customHeight="1" x14ac:dyDescent="0.2">
      <c r="A14" s="84" t="str">
        <f>IF(C1=1,"Característica","Features")</f>
        <v>Característica</v>
      </c>
      <c r="B14" s="40"/>
      <c r="C14" s="40"/>
      <c r="D14" s="85"/>
      <c r="E14" s="39" t="str">
        <f>IF(C1=1,"Especificado","Specified")</f>
        <v>Especificado</v>
      </c>
      <c r="F14" s="40"/>
      <c r="G14" s="40"/>
      <c r="H14" s="85"/>
      <c r="I14" s="39" t="str">
        <f>IF(C1=1,"Verificado","Checked")</f>
        <v>Verificado</v>
      </c>
      <c r="J14" s="40"/>
      <c r="K14" s="40"/>
      <c r="L14" s="40"/>
      <c r="M14" s="189"/>
      <c r="N14" s="4"/>
      <c r="O14" s="4"/>
      <c r="P14" s="4"/>
      <c r="Q14" s="4"/>
      <c r="R14" s="4"/>
    </row>
    <row r="15" spans="1:18" ht="15" customHeight="1" x14ac:dyDescent="0.2">
      <c r="A15" s="199" t="s">
        <v>13</v>
      </c>
      <c r="B15" s="52"/>
      <c r="C15" s="52"/>
      <c r="D15" s="200"/>
      <c r="E15" s="51" t="s">
        <v>14</v>
      </c>
      <c r="F15" s="52"/>
      <c r="G15" s="52"/>
      <c r="H15" s="200"/>
      <c r="I15" s="89" t="s">
        <v>49</v>
      </c>
      <c r="J15" s="90"/>
      <c r="K15" s="90"/>
      <c r="L15" s="90"/>
      <c r="M15" s="91"/>
      <c r="N15" s="4"/>
      <c r="O15" s="4"/>
      <c r="P15" s="4"/>
      <c r="Q15" s="4"/>
      <c r="R15" s="4"/>
    </row>
    <row r="16" spans="1:18" ht="15" customHeight="1" x14ac:dyDescent="0.2">
      <c r="A16" s="201"/>
      <c r="B16" s="202"/>
      <c r="C16" s="202"/>
      <c r="D16" s="203"/>
      <c r="E16" s="207"/>
      <c r="F16" s="202"/>
      <c r="G16" s="202"/>
      <c r="H16" s="203"/>
      <c r="I16" s="92"/>
      <c r="J16" s="93"/>
      <c r="K16" s="93"/>
      <c r="L16" s="93"/>
      <c r="M16" s="94"/>
      <c r="N16" s="4"/>
      <c r="O16" s="4"/>
      <c r="P16" s="4"/>
      <c r="Q16" s="4"/>
      <c r="R16" s="4"/>
    </row>
    <row r="17" spans="1:18" ht="15" customHeight="1" x14ac:dyDescent="0.2">
      <c r="A17" s="204"/>
      <c r="B17" s="205"/>
      <c r="C17" s="205"/>
      <c r="D17" s="206"/>
      <c r="E17" s="208"/>
      <c r="F17" s="205"/>
      <c r="G17" s="205"/>
      <c r="H17" s="206"/>
      <c r="I17" s="95"/>
      <c r="J17" s="96"/>
      <c r="K17" s="96"/>
      <c r="L17" s="96"/>
      <c r="M17" s="97"/>
      <c r="N17" s="4"/>
      <c r="O17" s="4"/>
      <c r="P17" s="4"/>
      <c r="Q17" s="4"/>
      <c r="R17" s="4"/>
    </row>
    <row r="18" spans="1:18" ht="15" customHeight="1" x14ac:dyDescent="0.2">
      <c r="A18" s="209" t="str">
        <f>IF(C1=1,"Obs:","Remarks:")</f>
        <v>Obs:</v>
      </c>
      <c r="B18" s="210"/>
      <c r="C18" s="98" t="s">
        <v>51</v>
      </c>
      <c r="D18" s="98"/>
      <c r="E18" s="98"/>
      <c r="F18" s="98"/>
      <c r="G18" s="98"/>
      <c r="H18" s="98"/>
      <c r="I18" s="98"/>
      <c r="J18" s="98"/>
      <c r="K18" s="98"/>
      <c r="L18" s="98"/>
      <c r="M18" s="99"/>
      <c r="N18" s="4"/>
      <c r="O18" s="4"/>
      <c r="P18" s="4"/>
      <c r="Q18" s="4"/>
      <c r="R18" s="4"/>
    </row>
    <row r="19" spans="1:18" ht="15" customHeight="1" x14ac:dyDescent="0.2">
      <c r="A19" s="211"/>
      <c r="B19" s="212"/>
      <c r="C19" s="100"/>
      <c r="D19" s="100"/>
      <c r="E19" s="100"/>
      <c r="F19" s="100"/>
      <c r="G19" s="100"/>
      <c r="H19" s="100"/>
      <c r="I19" s="100"/>
      <c r="J19" s="100"/>
      <c r="K19" s="100"/>
      <c r="L19" s="100"/>
      <c r="M19" s="101"/>
      <c r="N19" s="4"/>
      <c r="O19" s="4"/>
      <c r="P19" s="4"/>
      <c r="Q19" s="4"/>
      <c r="R19" s="4"/>
    </row>
    <row r="20" spans="1:18" ht="15" customHeight="1" x14ac:dyDescent="0.2">
      <c r="A20" s="213"/>
      <c r="B20" s="214"/>
      <c r="C20" s="102"/>
      <c r="D20" s="102"/>
      <c r="E20" s="102"/>
      <c r="F20" s="102"/>
      <c r="G20" s="102"/>
      <c r="H20" s="102"/>
      <c r="I20" s="102"/>
      <c r="J20" s="102"/>
      <c r="K20" s="102"/>
      <c r="L20" s="102"/>
      <c r="M20" s="103"/>
      <c r="N20" s="4"/>
      <c r="O20" s="4"/>
      <c r="P20" s="4"/>
      <c r="Q20" s="4"/>
      <c r="R20" s="4"/>
    </row>
    <row r="21" spans="1:18" ht="15" customHeight="1" thickBot="1" x14ac:dyDescent="0.25">
      <c r="A21" s="20" t="str">
        <f>IF(C1=1,"Devolver até","Return to")</f>
        <v>Devolver até</v>
      </c>
      <c r="B21" s="9"/>
      <c r="C21" s="9"/>
      <c r="D21" s="28">
        <v>45537</v>
      </c>
      <c r="E21" s="10" t="str">
        <f>IF(C1=1,"Atenção para","Attention to")</f>
        <v>Atenção para</v>
      </c>
      <c r="F21" s="9"/>
      <c r="G21" s="285" t="s">
        <v>26</v>
      </c>
      <c r="H21" s="286"/>
      <c r="I21" s="10" t="s">
        <v>7</v>
      </c>
      <c r="J21" s="285" t="s">
        <v>25</v>
      </c>
      <c r="K21" s="285"/>
      <c r="L21" s="285"/>
      <c r="M21" s="287"/>
      <c r="N21" s="4"/>
      <c r="O21" s="4"/>
      <c r="P21" s="4"/>
      <c r="Q21" s="4"/>
      <c r="R21" s="4"/>
    </row>
    <row r="22" spans="1:18" ht="15" customHeight="1" x14ac:dyDescent="0.2">
      <c r="A22" s="58" t="str">
        <f>IF(C1=1,"USO DO FORNECEDOR","SUPPLIER USE")</f>
        <v>USO DO FORNECEDOR</v>
      </c>
      <c r="B22" s="80" t="str">
        <f>IF(C1=1,"2. Membros da equipe de análise","2. Analysis Team Members")</f>
        <v>2. Membros da equipe de análise</v>
      </c>
      <c r="C22" s="81"/>
      <c r="D22" s="190" t="str">
        <f>IF(C1=1,"Nome do Responsável","Responsible Person")</f>
        <v>Nome do Responsável</v>
      </c>
      <c r="E22" s="190"/>
      <c r="F22" s="190"/>
      <c r="G22" s="190"/>
      <c r="H22" s="190" t="str">
        <f>IF(C1=1,"Área de Atuação do Responsável","Actuation Area of the Responsible Person")</f>
        <v>Área de Atuação do Responsável</v>
      </c>
      <c r="I22" s="190"/>
      <c r="J22" s="190"/>
      <c r="K22" s="190"/>
      <c r="L22" s="190"/>
      <c r="M22" s="191"/>
      <c r="N22" s="4"/>
      <c r="O22" s="4"/>
      <c r="P22" s="4"/>
      <c r="Q22" s="4"/>
      <c r="R22" s="4"/>
    </row>
    <row r="23" spans="1:18" ht="15" customHeight="1" x14ac:dyDescent="0.2">
      <c r="A23" s="59"/>
      <c r="B23" s="80"/>
      <c r="C23" s="81"/>
      <c r="D23" s="77" t="s">
        <v>15</v>
      </c>
      <c r="E23" s="78"/>
      <c r="F23" s="78"/>
      <c r="G23" s="192"/>
      <c r="H23" s="77" t="s">
        <v>16</v>
      </c>
      <c r="I23" s="78"/>
      <c r="J23" s="78"/>
      <c r="K23" s="78"/>
      <c r="L23" s="78"/>
      <c r="M23" s="79"/>
      <c r="N23" s="4"/>
      <c r="O23" s="4"/>
      <c r="P23" s="4"/>
      <c r="Q23" s="4"/>
      <c r="R23" s="4"/>
    </row>
    <row r="24" spans="1:18" ht="15" customHeight="1" x14ac:dyDescent="0.2">
      <c r="A24" s="59"/>
      <c r="B24" s="80"/>
      <c r="C24" s="81"/>
      <c r="D24" s="56" t="str">
        <f>IF(C1=1,"Membros da Equipe","Team Members")</f>
        <v>Membros da Equipe</v>
      </c>
      <c r="E24" s="56"/>
      <c r="F24" s="56"/>
      <c r="G24" s="56"/>
      <c r="H24" s="56" t="str">
        <f>IF(C1=1,"Área de Atuação dos Membros da Equipe","Actuation Area of the Team Members")</f>
        <v>Área de Atuação dos Membros da Equipe</v>
      </c>
      <c r="I24" s="56"/>
      <c r="J24" s="56"/>
      <c r="K24" s="56"/>
      <c r="L24" s="56"/>
      <c r="M24" s="57"/>
      <c r="N24" s="4"/>
      <c r="O24" s="4"/>
      <c r="P24" s="4"/>
      <c r="Q24" s="4"/>
      <c r="R24" s="4"/>
    </row>
    <row r="25" spans="1:18" ht="15" customHeight="1" x14ac:dyDescent="0.2">
      <c r="A25" s="59"/>
      <c r="B25" s="80"/>
      <c r="C25" s="81"/>
      <c r="D25" s="51" t="s">
        <v>54</v>
      </c>
      <c r="E25" s="52"/>
      <c r="F25" s="52"/>
      <c r="G25" s="52"/>
      <c r="H25" s="51" t="s">
        <v>56</v>
      </c>
      <c r="I25" s="52"/>
      <c r="J25" s="52"/>
      <c r="K25" s="52"/>
      <c r="L25" s="52"/>
      <c r="M25" s="55"/>
      <c r="N25" s="4"/>
      <c r="O25" s="4"/>
      <c r="P25" s="4"/>
      <c r="Q25" s="4"/>
      <c r="R25" s="4"/>
    </row>
    <row r="26" spans="1:18" ht="15" customHeight="1" x14ac:dyDescent="0.2">
      <c r="A26" s="59"/>
      <c r="B26" s="80"/>
      <c r="C26" s="81"/>
      <c r="D26" s="51" t="s">
        <v>52</v>
      </c>
      <c r="E26" s="52"/>
      <c r="F26" s="52"/>
      <c r="G26" s="52"/>
      <c r="H26" s="51" t="s">
        <v>16</v>
      </c>
      <c r="I26" s="52"/>
      <c r="J26" s="52"/>
      <c r="K26" s="52"/>
      <c r="L26" s="52"/>
      <c r="M26" s="55"/>
      <c r="N26" s="4"/>
      <c r="O26" s="4"/>
      <c r="P26" s="4"/>
      <c r="Q26" s="4"/>
      <c r="R26" s="4"/>
    </row>
    <row r="27" spans="1:18" ht="15" customHeight="1" x14ac:dyDescent="0.2">
      <c r="A27" s="59"/>
      <c r="B27" s="80"/>
      <c r="C27" s="81"/>
      <c r="D27" s="51" t="s">
        <v>23</v>
      </c>
      <c r="E27" s="52"/>
      <c r="F27" s="52"/>
      <c r="G27" s="52"/>
      <c r="H27" s="51" t="s">
        <v>53</v>
      </c>
      <c r="I27" s="52"/>
      <c r="J27" s="52"/>
      <c r="K27" s="52"/>
      <c r="L27" s="52"/>
      <c r="M27" s="55"/>
      <c r="N27" s="4"/>
      <c r="O27" s="4"/>
      <c r="P27" s="4"/>
      <c r="Q27" s="4"/>
      <c r="R27" s="4"/>
    </row>
    <row r="28" spans="1:18" ht="15" customHeight="1" x14ac:dyDescent="0.2">
      <c r="A28" s="59"/>
      <c r="B28" s="80"/>
      <c r="C28" s="81"/>
      <c r="D28" s="51" t="s">
        <v>55</v>
      </c>
      <c r="E28" s="52"/>
      <c r="F28" s="52"/>
      <c r="G28" s="52"/>
      <c r="H28" s="51" t="s">
        <v>57</v>
      </c>
      <c r="I28" s="52"/>
      <c r="J28" s="52"/>
      <c r="K28" s="52"/>
      <c r="L28" s="52"/>
      <c r="M28" s="55"/>
      <c r="N28" s="4"/>
      <c r="O28" s="4"/>
      <c r="P28" s="4"/>
      <c r="Q28" s="4"/>
      <c r="R28" s="4"/>
    </row>
    <row r="29" spans="1:18" ht="15" customHeight="1" thickBot="1" x14ac:dyDescent="0.25">
      <c r="A29" s="59"/>
      <c r="B29" s="82"/>
      <c r="C29" s="83"/>
      <c r="D29" s="53"/>
      <c r="E29" s="54"/>
      <c r="F29" s="54"/>
      <c r="G29" s="54"/>
      <c r="H29" s="53"/>
      <c r="I29" s="54"/>
      <c r="J29" s="54"/>
      <c r="K29" s="54"/>
      <c r="L29" s="54"/>
      <c r="M29" s="106"/>
      <c r="N29" s="4"/>
      <c r="O29" s="4"/>
      <c r="P29" s="4"/>
      <c r="Q29" s="4"/>
      <c r="R29" s="4"/>
    </row>
    <row r="30" spans="1:18" ht="15" customHeight="1" x14ac:dyDescent="0.2">
      <c r="A30" s="59"/>
      <c r="B30" s="104" t="str">
        <f>IF(C1=1,"3. Ação de contenção","3. Containment Action")</f>
        <v>3. Ação de contenção</v>
      </c>
      <c r="C30" s="105"/>
      <c r="D30" s="171" t="str">
        <f>IF(C1=1,"Ações realizadas evitando o envio de novos lotes não-conformes (como por exemplo informar quantia de estoque disponível, se existe material em trânsito,...)","Activities held by avoiding sending new non-conforming lots (eg informing amount of inventory available, if there is material in transit ...)")</f>
        <v>Ações realizadas evitando o envio de novos lotes não-conformes (como por exemplo informar quantia de estoque disponível, se existe material em trânsito,...)</v>
      </c>
      <c r="E30" s="172"/>
      <c r="F30" s="172"/>
      <c r="G30" s="172"/>
      <c r="H30" s="172"/>
      <c r="I30" s="172"/>
      <c r="J30" s="172"/>
      <c r="K30" s="172"/>
      <c r="L30" s="172"/>
      <c r="M30" s="173"/>
      <c r="N30" s="4"/>
      <c r="O30" s="4"/>
      <c r="P30" s="4"/>
      <c r="Q30" s="4"/>
      <c r="R30" s="4"/>
    </row>
    <row r="31" spans="1:18" ht="12.75" customHeight="1" x14ac:dyDescent="0.2">
      <c r="A31" s="59"/>
      <c r="B31" s="80"/>
      <c r="C31" s="81"/>
      <c r="D31" s="115"/>
      <c r="E31" s="180"/>
      <c r="F31" s="180"/>
      <c r="G31" s="180"/>
      <c r="H31" s="180"/>
      <c r="I31" s="180"/>
      <c r="J31" s="180"/>
      <c r="K31" s="180"/>
      <c r="L31" s="180"/>
      <c r="M31" s="181"/>
      <c r="N31" s="4"/>
      <c r="O31" s="4"/>
      <c r="P31" s="4"/>
      <c r="Q31" s="4"/>
      <c r="R31" s="4"/>
    </row>
    <row r="32" spans="1:18" ht="12.75" hidden="1" customHeight="1" x14ac:dyDescent="0.2">
      <c r="A32" s="59"/>
      <c r="B32" s="80"/>
      <c r="C32" s="81"/>
      <c r="D32" s="174"/>
      <c r="E32" s="175"/>
      <c r="F32" s="175"/>
      <c r="G32" s="175"/>
      <c r="H32" s="175"/>
      <c r="I32" s="175"/>
      <c r="J32" s="175"/>
      <c r="K32" s="175"/>
      <c r="L32" s="175"/>
      <c r="M32" s="176"/>
      <c r="N32" s="4"/>
      <c r="O32" s="4"/>
      <c r="P32" s="4"/>
      <c r="Q32" s="4"/>
      <c r="R32" s="4"/>
    </row>
    <row r="33" spans="1:18" ht="20.25" customHeight="1" x14ac:dyDescent="0.2">
      <c r="A33" s="59"/>
      <c r="B33" s="80"/>
      <c r="C33" s="81"/>
      <c r="D33" s="69" t="str">
        <f>IF(C1=1,"Quais ações foram tomadas de imediato?","What actions were taken immediately?")</f>
        <v>Quais ações foram tomadas de imediato?</v>
      </c>
      <c r="E33" s="69"/>
      <c r="F33" s="69"/>
      <c r="G33" s="69"/>
      <c r="H33" s="69"/>
      <c r="I33" s="69"/>
      <c r="J33" s="49" t="str">
        <f>IF(C1=1,"Data do início da contenção:","Containment start date:")</f>
        <v>Data do início da contenção:</v>
      </c>
      <c r="K33" s="49"/>
      <c r="L33" s="49"/>
      <c r="M33" s="50"/>
      <c r="N33" s="4"/>
      <c r="O33" s="4"/>
      <c r="P33" s="4"/>
      <c r="Q33" s="4"/>
      <c r="R33" s="4"/>
    </row>
    <row r="34" spans="1:18" ht="15" customHeight="1" x14ac:dyDescent="0.2">
      <c r="A34" s="59"/>
      <c r="B34" s="80"/>
      <c r="C34" s="81"/>
      <c r="D34" s="16" t="str">
        <f>IF(C1=1,"Área","Area")</f>
        <v>Área</v>
      </c>
      <c r="E34" s="39" t="str">
        <f>IF(C1=1,"Quantidade","Amount")</f>
        <v>Quantidade</v>
      </c>
      <c r="F34" s="40"/>
      <c r="G34" s="111" t="str">
        <f>IF(C1=1,"Plano de ação","Actionplan")</f>
        <v>Plano de ação</v>
      </c>
      <c r="H34" s="111"/>
      <c r="I34" s="111"/>
      <c r="J34" s="39" t="str">
        <f>IF(C1=1,"Responsável","Responsible")</f>
        <v>Responsável</v>
      </c>
      <c r="K34" s="40"/>
      <c r="L34" s="40"/>
      <c r="M34" s="21" t="str">
        <f>IF(C1=1,"Data","Date")</f>
        <v>Data</v>
      </c>
      <c r="N34" s="4"/>
      <c r="O34" s="4"/>
      <c r="P34" s="4"/>
      <c r="Q34" s="4"/>
      <c r="R34" s="4"/>
    </row>
    <row r="35" spans="1:18" ht="15" customHeight="1" x14ac:dyDescent="0.2">
      <c r="A35" s="59"/>
      <c r="B35" s="80"/>
      <c r="C35" s="80"/>
      <c r="D35" s="111" t="str">
        <f>IF(C1=1,"Cliente Final","Client/Customer")</f>
        <v>Cliente Final</v>
      </c>
      <c r="E35" s="36"/>
      <c r="F35" s="37"/>
      <c r="G35" s="41"/>
      <c r="H35" s="36"/>
      <c r="I35" s="37"/>
      <c r="J35" s="41"/>
      <c r="K35" s="36"/>
      <c r="L35" s="36"/>
      <c r="M35" s="22"/>
      <c r="N35" s="4"/>
      <c r="O35" s="4"/>
      <c r="P35" s="4"/>
      <c r="Q35" s="4"/>
      <c r="R35" s="4"/>
    </row>
    <row r="36" spans="1:18" ht="15" customHeight="1" x14ac:dyDescent="0.2">
      <c r="A36" s="59"/>
      <c r="B36" s="80"/>
      <c r="C36" s="80"/>
      <c r="D36" s="111"/>
      <c r="E36" s="36"/>
      <c r="F36" s="37"/>
      <c r="G36" s="38"/>
      <c r="H36" s="38"/>
      <c r="I36" s="38"/>
      <c r="J36" s="38"/>
      <c r="K36" s="38"/>
      <c r="L36" s="38"/>
      <c r="M36" s="22"/>
      <c r="N36" s="4"/>
      <c r="O36" s="4"/>
      <c r="P36" s="4"/>
      <c r="Q36" s="4"/>
      <c r="R36" s="4"/>
    </row>
    <row r="37" spans="1:18" ht="15" customHeight="1" x14ac:dyDescent="0.2">
      <c r="A37" s="59"/>
      <c r="B37" s="80"/>
      <c r="C37" s="80"/>
      <c r="D37" s="111" t="s">
        <v>5</v>
      </c>
      <c r="E37" s="36"/>
      <c r="F37" s="37"/>
      <c r="G37" s="38"/>
      <c r="H37" s="38"/>
      <c r="I37" s="38"/>
      <c r="J37" s="38"/>
      <c r="K37" s="38"/>
      <c r="L37" s="38"/>
      <c r="M37" s="22"/>
      <c r="N37" s="4"/>
      <c r="O37" s="4"/>
      <c r="P37" s="4"/>
      <c r="Q37" s="4"/>
      <c r="R37" s="4"/>
    </row>
    <row r="38" spans="1:18" ht="15" customHeight="1" x14ac:dyDescent="0.2">
      <c r="A38" s="59"/>
      <c r="B38" s="80"/>
      <c r="C38" s="80"/>
      <c r="D38" s="111"/>
      <c r="E38" s="36"/>
      <c r="F38" s="37"/>
      <c r="G38" s="38"/>
      <c r="H38" s="38"/>
      <c r="I38" s="38"/>
      <c r="J38" s="38"/>
      <c r="K38" s="38"/>
      <c r="L38" s="38"/>
      <c r="M38" s="22"/>
      <c r="N38" s="4"/>
      <c r="O38" s="4"/>
      <c r="P38" s="4"/>
      <c r="Q38" s="4"/>
      <c r="R38" s="4"/>
    </row>
    <row r="39" spans="1:18" ht="15" customHeight="1" x14ac:dyDescent="0.2">
      <c r="A39" s="59"/>
      <c r="B39" s="80"/>
      <c r="C39" s="80"/>
      <c r="D39" s="111" t="str">
        <f>IF(C1=1,"Fornecedor","Supplier")</f>
        <v>Fornecedor</v>
      </c>
      <c r="E39" s="36" t="s">
        <v>17</v>
      </c>
      <c r="F39" s="37"/>
      <c r="G39" s="157" t="s">
        <v>18</v>
      </c>
      <c r="H39" s="158"/>
      <c r="I39" s="288"/>
      <c r="J39" s="157" t="s">
        <v>50</v>
      </c>
      <c r="K39" s="158"/>
      <c r="L39" s="158"/>
      <c r="M39" s="29">
        <v>45505</v>
      </c>
      <c r="N39" s="4"/>
      <c r="O39" s="4"/>
      <c r="P39" s="4"/>
      <c r="Q39" s="4"/>
      <c r="R39" s="4"/>
    </row>
    <row r="40" spans="1:18" ht="15" customHeight="1" thickBot="1" x14ac:dyDescent="0.25">
      <c r="A40" s="59"/>
      <c r="B40" s="82"/>
      <c r="C40" s="82"/>
      <c r="D40" s="159"/>
      <c r="E40" s="110"/>
      <c r="F40" s="170"/>
      <c r="G40" s="109"/>
      <c r="H40" s="110"/>
      <c r="I40" s="170"/>
      <c r="J40" s="109"/>
      <c r="K40" s="110"/>
      <c r="L40" s="110"/>
      <c r="M40" s="23"/>
      <c r="N40" s="4"/>
      <c r="O40" s="4"/>
      <c r="P40" s="4"/>
      <c r="Q40" s="4"/>
      <c r="R40" s="4"/>
    </row>
    <row r="41" spans="1:18" ht="15" customHeight="1" x14ac:dyDescent="0.2">
      <c r="A41" s="59"/>
      <c r="B41" s="104" t="str">
        <f>IF(C1=1,"4. Estudo de causa do defeito (Técnica dos Porquês)","4. Defect Study Case (Ishikawa, Brainstorming...)")</f>
        <v>4. Estudo de causa do defeito (Técnica dos Porquês)</v>
      </c>
      <c r="C41" s="105"/>
      <c r="D41" s="160" t="str">
        <f>IF(C1=1,"É obrigatório conter análise sobre a causa do problema.","Analysis of the cause of the problem is mandatory.")</f>
        <v>É obrigatório conter análise sobre a causa do problema.</v>
      </c>
      <c r="E41" s="161"/>
      <c r="F41" s="161"/>
      <c r="G41" s="161"/>
      <c r="H41" s="161"/>
      <c r="I41" s="161"/>
      <c r="J41" s="161"/>
      <c r="K41" s="161"/>
      <c r="L41" s="161"/>
      <c r="M41" s="162"/>
      <c r="N41" s="4"/>
      <c r="O41" s="4"/>
      <c r="P41" s="4"/>
      <c r="Q41" s="4"/>
      <c r="R41" s="4"/>
    </row>
    <row r="42" spans="1:18" ht="15" customHeight="1" x14ac:dyDescent="0.2">
      <c r="A42" s="59"/>
      <c r="B42" s="80"/>
      <c r="C42" s="81"/>
      <c r="D42" s="163"/>
      <c r="E42" s="164"/>
      <c r="F42" s="164"/>
      <c r="G42" s="164"/>
      <c r="H42" s="164"/>
      <c r="I42" s="164"/>
      <c r="J42" s="164"/>
      <c r="K42" s="164"/>
      <c r="L42" s="164"/>
      <c r="M42" s="165"/>
      <c r="N42" s="4"/>
      <c r="O42" s="4"/>
      <c r="P42" s="4"/>
      <c r="Q42" s="4"/>
      <c r="R42" s="4"/>
    </row>
    <row r="43" spans="1:18" ht="15" customHeight="1" x14ac:dyDescent="0.2">
      <c r="A43" s="59"/>
      <c r="B43" s="80"/>
      <c r="C43" s="81"/>
      <c r="D43" s="6"/>
      <c r="E43" s="72" t="str">
        <f>IF(C1=1,"Portanto","Therefore")</f>
        <v>Portanto</v>
      </c>
      <c r="F43" s="72"/>
      <c r="G43" s="72" t="str">
        <f>E43</f>
        <v>Portanto</v>
      </c>
      <c r="H43" s="72"/>
      <c r="I43" s="72" t="str">
        <f>G43</f>
        <v>Portanto</v>
      </c>
      <c r="J43" s="72"/>
      <c r="K43" s="72" t="str">
        <f>I43</f>
        <v>Portanto</v>
      </c>
      <c r="L43" s="72"/>
      <c r="M43" s="24" t="str">
        <f>K43</f>
        <v>Portanto</v>
      </c>
      <c r="N43" s="4"/>
      <c r="O43" s="4"/>
      <c r="P43" s="4"/>
      <c r="Q43" s="4"/>
      <c r="R43" s="4"/>
    </row>
    <row r="44" spans="1:18" ht="15" customHeight="1" x14ac:dyDescent="0.2">
      <c r="A44" s="59"/>
      <c r="B44" s="80"/>
      <c r="C44" s="81"/>
      <c r="D44" s="115" t="str">
        <f>IF(C1=1,"Análise sobre a causa do problema  ( Ocorrência)","Analysis of the cause of the problem (Occurrence)")</f>
        <v>Análise sobre a causa do problema  ( Ocorrência)</v>
      </c>
      <c r="E44" s="113" t="s">
        <v>27</v>
      </c>
      <c r="F44" s="113"/>
      <c r="G44" s="107" t="s">
        <v>28</v>
      </c>
      <c r="H44" s="107"/>
      <c r="I44" s="107" t="s">
        <v>29</v>
      </c>
      <c r="J44" s="107"/>
      <c r="K44" s="107" t="s">
        <v>30</v>
      </c>
      <c r="L44" s="107"/>
      <c r="M44" s="86" t="s">
        <v>41</v>
      </c>
      <c r="N44" s="4"/>
      <c r="O44" s="4"/>
      <c r="P44" s="4"/>
      <c r="Q44" s="4"/>
      <c r="R44" s="4"/>
    </row>
    <row r="45" spans="1:18" ht="72" customHeight="1" x14ac:dyDescent="0.2">
      <c r="A45" s="59"/>
      <c r="B45" s="80"/>
      <c r="C45" s="81"/>
      <c r="D45" s="115"/>
      <c r="E45" s="114"/>
      <c r="F45" s="114"/>
      <c r="G45" s="108"/>
      <c r="H45" s="108"/>
      <c r="I45" s="108"/>
      <c r="J45" s="108"/>
      <c r="K45" s="108"/>
      <c r="L45" s="108"/>
      <c r="M45" s="88"/>
      <c r="N45" s="8"/>
      <c r="O45" s="4"/>
      <c r="P45" s="4"/>
      <c r="Q45" s="4"/>
      <c r="R45" s="4"/>
    </row>
    <row r="46" spans="1:18" ht="15" customHeight="1" x14ac:dyDescent="0.2">
      <c r="A46" s="59"/>
      <c r="B46" s="80"/>
      <c r="C46" s="81"/>
      <c r="D46" s="6"/>
      <c r="E46" s="72" t="str">
        <f>IF(C1=1,"PQ","Because")</f>
        <v>PQ</v>
      </c>
      <c r="F46" s="72"/>
      <c r="G46" s="72" t="str">
        <f>E46</f>
        <v>PQ</v>
      </c>
      <c r="H46" s="72"/>
      <c r="I46" s="72" t="str">
        <f>G46</f>
        <v>PQ</v>
      </c>
      <c r="J46" s="72"/>
      <c r="K46" s="72" t="str">
        <f>I46</f>
        <v>PQ</v>
      </c>
      <c r="L46" s="72"/>
      <c r="M46" s="24" t="str">
        <f>K46</f>
        <v>PQ</v>
      </c>
      <c r="N46" s="4"/>
      <c r="O46" s="4"/>
      <c r="P46" s="4"/>
      <c r="Q46" s="4"/>
      <c r="R46" s="4"/>
    </row>
    <row r="47" spans="1:18" ht="15" customHeight="1" x14ac:dyDescent="0.2">
      <c r="A47" s="59"/>
      <c r="B47" s="80"/>
      <c r="C47" s="81"/>
      <c r="D47" s="6"/>
      <c r="E47" s="7"/>
      <c r="F47" s="7"/>
      <c r="G47" s="7"/>
      <c r="H47" s="7"/>
      <c r="I47" s="7"/>
      <c r="J47" s="7"/>
      <c r="K47" s="7"/>
      <c r="L47" s="7"/>
      <c r="M47" s="25"/>
      <c r="N47" s="4"/>
      <c r="O47" s="4"/>
      <c r="P47" s="4"/>
      <c r="Q47" s="4"/>
      <c r="R47" s="4"/>
    </row>
    <row r="48" spans="1:18" ht="15" customHeight="1" x14ac:dyDescent="0.2">
      <c r="A48" s="59"/>
      <c r="B48" s="80"/>
      <c r="C48" s="81"/>
      <c r="D48" s="6"/>
      <c r="E48" s="72" t="str">
        <f>E43</f>
        <v>Portanto</v>
      </c>
      <c r="F48" s="72"/>
      <c r="G48" s="72" t="str">
        <f>E48</f>
        <v>Portanto</v>
      </c>
      <c r="H48" s="72"/>
      <c r="I48" s="72" t="str">
        <f>G48</f>
        <v>Portanto</v>
      </c>
      <c r="J48" s="72"/>
      <c r="K48" s="72" t="str">
        <f>I48</f>
        <v>Portanto</v>
      </c>
      <c r="L48" s="72"/>
      <c r="M48" s="24" t="str">
        <f>K48</f>
        <v>Portanto</v>
      </c>
      <c r="N48" s="4"/>
      <c r="O48" s="4"/>
      <c r="P48" s="4"/>
      <c r="Q48" s="4"/>
      <c r="R48" s="4"/>
    </row>
    <row r="49" spans="1:18" ht="15" customHeight="1" x14ac:dyDescent="0.2">
      <c r="A49" s="59"/>
      <c r="B49" s="80"/>
      <c r="C49" s="81"/>
      <c r="D49" s="166" t="str">
        <f>IF(C1=1,"Análise sobre o motivo pelo qual não foi detectado           ( Detecção)","
Analysis of why it was not detected (Detection)")</f>
        <v>Análise sobre o motivo pelo qual não foi detectado           ( Detecção)</v>
      </c>
      <c r="E49" s="107" t="s">
        <v>31</v>
      </c>
      <c r="F49" s="107"/>
      <c r="G49" s="107" t="s">
        <v>36</v>
      </c>
      <c r="H49" s="107"/>
      <c r="I49" s="107" t="s">
        <v>37</v>
      </c>
      <c r="J49" s="107"/>
      <c r="K49" s="107" t="s">
        <v>40</v>
      </c>
      <c r="L49" s="107"/>
      <c r="M49" s="86"/>
      <c r="N49" s="8"/>
      <c r="O49" s="4"/>
      <c r="P49" s="4"/>
      <c r="Q49" s="4"/>
      <c r="R49" s="4"/>
    </row>
    <row r="50" spans="1:18" ht="15" customHeight="1" x14ac:dyDescent="0.2">
      <c r="A50" s="59"/>
      <c r="B50" s="80"/>
      <c r="C50" s="81"/>
      <c r="D50" s="166"/>
      <c r="E50" s="116"/>
      <c r="F50" s="116"/>
      <c r="G50" s="116"/>
      <c r="H50" s="116"/>
      <c r="I50" s="116"/>
      <c r="J50" s="116"/>
      <c r="K50" s="116"/>
      <c r="L50" s="116"/>
      <c r="M50" s="87"/>
      <c r="N50" s="8"/>
      <c r="O50" s="4"/>
      <c r="P50" s="4"/>
      <c r="Q50" s="4"/>
      <c r="R50" s="4"/>
    </row>
    <row r="51" spans="1:18" ht="15" customHeight="1" x14ac:dyDescent="0.2">
      <c r="A51" s="59"/>
      <c r="B51" s="80"/>
      <c r="C51" s="81"/>
      <c r="D51" s="166"/>
      <c r="E51" s="116"/>
      <c r="F51" s="116"/>
      <c r="G51" s="116"/>
      <c r="H51" s="116"/>
      <c r="I51" s="116"/>
      <c r="J51" s="116"/>
      <c r="K51" s="116"/>
      <c r="L51" s="116"/>
      <c r="M51" s="87"/>
      <c r="N51" s="8"/>
      <c r="O51" s="4"/>
      <c r="P51" s="4"/>
      <c r="Q51" s="4"/>
      <c r="R51" s="4"/>
    </row>
    <row r="52" spans="1:18" ht="35.25" customHeight="1" x14ac:dyDescent="0.2">
      <c r="A52" s="59"/>
      <c r="B52" s="80"/>
      <c r="C52" s="81"/>
      <c r="D52" s="166"/>
      <c r="E52" s="108"/>
      <c r="F52" s="108"/>
      <c r="G52" s="108"/>
      <c r="H52" s="108"/>
      <c r="I52" s="108"/>
      <c r="J52" s="108"/>
      <c r="K52" s="108"/>
      <c r="L52" s="108"/>
      <c r="M52" s="88"/>
      <c r="N52" s="8"/>
      <c r="O52" s="4"/>
      <c r="P52" s="4"/>
      <c r="Q52" s="4"/>
      <c r="R52" s="4"/>
    </row>
    <row r="53" spans="1:18" ht="35.25" customHeight="1" thickBot="1" x14ac:dyDescent="0.25">
      <c r="A53" s="59"/>
      <c r="B53" s="82"/>
      <c r="C53" s="83"/>
      <c r="D53" s="31"/>
      <c r="E53" s="112" t="str">
        <f>E46</f>
        <v>PQ</v>
      </c>
      <c r="F53" s="112"/>
      <c r="G53" s="112" t="str">
        <f>E53</f>
        <v>PQ</v>
      </c>
      <c r="H53" s="112"/>
      <c r="I53" s="112" t="str">
        <f>G53</f>
        <v>PQ</v>
      </c>
      <c r="J53" s="112"/>
      <c r="K53" s="112" t="str">
        <f>I53</f>
        <v>PQ</v>
      </c>
      <c r="L53" s="112"/>
      <c r="M53" s="26" t="str">
        <f>K53</f>
        <v>PQ</v>
      </c>
      <c r="N53" s="8"/>
      <c r="O53" s="4"/>
      <c r="P53" s="4"/>
      <c r="Q53" s="4"/>
      <c r="R53" s="4"/>
    </row>
    <row r="54" spans="1:18" ht="49.15" customHeight="1" x14ac:dyDescent="0.2">
      <c r="A54" s="59"/>
      <c r="B54" s="104" t="str">
        <f>IF(C1=1,"5. Ação corretiva proposta","5. Proposed Corrective Action")</f>
        <v>5. Ação corretiva proposta</v>
      </c>
      <c r="C54" s="105"/>
      <c r="D54" s="215" t="str">
        <f>IF(C1=1,"O plano deve incluir ações que se remetem à(s) causa(s) raiz(es) apontadas ao final do estudo da não conformidade. Treinar e orientar colaboradores não serão aceitos como única ação. Favor anexar evidências das ações já concluídas.","The plan should include actions that refer the root (s) cause (s) identified at the study of non-compliance. To and mentor employees will not be accepted as a single action. Please attach evidence of the actions already completed.")</f>
        <v>O plano deve incluir ações que se remetem à(s) causa(s) raiz(es) apontadas ao final do estudo da não conformidade. Treinar e orientar colaboradores não serão aceitos como única ação. Favor anexar evidências das ações já concluídas.</v>
      </c>
      <c r="E54" s="216"/>
      <c r="F54" s="216"/>
      <c r="G54" s="216"/>
      <c r="H54" s="216"/>
      <c r="I54" s="216"/>
      <c r="J54" s="216"/>
      <c r="K54" s="216"/>
      <c r="L54" s="216"/>
      <c r="M54" s="217"/>
      <c r="N54" s="4"/>
      <c r="O54" s="4"/>
      <c r="P54" s="4"/>
      <c r="Q54" s="4"/>
      <c r="R54" s="4"/>
    </row>
    <row r="55" spans="1:18" ht="25.5" customHeight="1" x14ac:dyDescent="0.2">
      <c r="A55" s="59"/>
      <c r="B55" s="80"/>
      <c r="C55" s="81"/>
      <c r="D55" s="39" t="str">
        <f>IF(C1=1,"Ação (Ocorrência
/Detecção)","Action (Occurrence
/Detection)")</f>
        <v>Ação (Ocorrência
/Detecção)</v>
      </c>
      <c r="E55" s="85"/>
      <c r="F55" s="40" t="str">
        <f>G34</f>
        <v>Plano de ação</v>
      </c>
      <c r="G55" s="40"/>
      <c r="H55" s="40"/>
      <c r="I55" s="85"/>
      <c r="J55" s="39" t="str">
        <f>J34</f>
        <v>Responsável</v>
      </c>
      <c r="K55" s="40"/>
      <c r="L55" s="85"/>
      <c r="M55" s="19" t="str">
        <f>M34</f>
        <v>Data</v>
      </c>
      <c r="N55" s="4"/>
      <c r="O55" s="4"/>
      <c r="P55" s="4"/>
      <c r="Q55" s="4"/>
      <c r="R55" s="4"/>
    </row>
    <row r="56" spans="1:18" ht="40.5" customHeight="1" x14ac:dyDescent="0.2">
      <c r="A56" s="59"/>
      <c r="B56" s="80"/>
      <c r="C56" s="81"/>
      <c r="D56" s="222" t="s">
        <v>19</v>
      </c>
      <c r="E56" s="223"/>
      <c r="F56" s="224" t="s">
        <v>32</v>
      </c>
      <c r="G56" s="225"/>
      <c r="H56" s="225"/>
      <c r="I56" s="226"/>
      <c r="J56" s="235" t="s">
        <v>11</v>
      </c>
      <c r="K56" s="225"/>
      <c r="L56" s="226"/>
      <c r="M56" s="30">
        <v>45509</v>
      </c>
      <c r="N56" s="4"/>
      <c r="O56" s="4"/>
      <c r="P56" s="4"/>
      <c r="Q56" s="4"/>
      <c r="R56" s="4"/>
    </row>
    <row r="57" spans="1:18" ht="40.5" customHeight="1" x14ac:dyDescent="0.2">
      <c r="A57" s="59"/>
      <c r="B57" s="80"/>
      <c r="C57" s="81"/>
      <c r="D57" s="222" t="s">
        <v>19</v>
      </c>
      <c r="E57" s="223"/>
      <c r="F57" s="224" t="s">
        <v>40</v>
      </c>
      <c r="G57" s="233"/>
      <c r="H57" s="233"/>
      <c r="I57" s="234"/>
      <c r="J57" s="235" t="s">
        <v>33</v>
      </c>
      <c r="K57" s="225"/>
      <c r="L57" s="226"/>
      <c r="M57" s="30">
        <v>45509</v>
      </c>
      <c r="N57" s="4"/>
      <c r="O57" s="4"/>
      <c r="P57" s="4"/>
      <c r="Q57" s="4"/>
      <c r="R57" s="4"/>
    </row>
    <row r="58" spans="1:18" ht="57.75" customHeight="1" x14ac:dyDescent="0.2">
      <c r="A58" s="59"/>
      <c r="B58" s="80"/>
      <c r="C58" s="81"/>
      <c r="D58" s="222" t="s">
        <v>19</v>
      </c>
      <c r="E58" s="223"/>
      <c r="F58" s="224" t="s">
        <v>34</v>
      </c>
      <c r="G58" s="225"/>
      <c r="H58" s="225"/>
      <c r="I58" s="226"/>
      <c r="J58" s="235" t="s">
        <v>35</v>
      </c>
      <c r="K58" s="225"/>
      <c r="L58" s="226"/>
      <c r="M58" s="30">
        <v>45513</v>
      </c>
      <c r="N58" s="4"/>
      <c r="O58" s="4"/>
      <c r="P58" s="4"/>
      <c r="Q58" s="4"/>
      <c r="R58" s="4"/>
    </row>
    <row r="59" spans="1:18" ht="56.25" customHeight="1" x14ac:dyDescent="0.2">
      <c r="A59" s="59"/>
      <c r="B59" s="80"/>
      <c r="C59" s="81"/>
      <c r="D59" s="222" t="s">
        <v>19</v>
      </c>
      <c r="E59" s="223"/>
      <c r="F59" s="224" t="s">
        <v>39</v>
      </c>
      <c r="G59" s="225"/>
      <c r="H59" s="225"/>
      <c r="I59" s="226"/>
      <c r="J59" s="235" t="s">
        <v>38</v>
      </c>
      <c r="K59" s="225"/>
      <c r="L59" s="226"/>
      <c r="M59" s="30">
        <v>45518</v>
      </c>
      <c r="N59" s="4"/>
      <c r="O59" s="4"/>
      <c r="P59" s="4"/>
      <c r="Q59" s="4"/>
      <c r="R59" s="4"/>
    </row>
    <row r="60" spans="1:18" ht="47.25" customHeight="1" x14ac:dyDescent="0.2">
      <c r="A60" s="59"/>
      <c r="B60" s="80"/>
      <c r="C60" s="81"/>
      <c r="D60" s="222" t="s">
        <v>20</v>
      </c>
      <c r="E60" s="223"/>
      <c r="F60" s="224" t="s">
        <v>21</v>
      </c>
      <c r="G60" s="225"/>
      <c r="H60" s="225"/>
      <c r="I60" s="226"/>
      <c r="J60" s="235" t="s">
        <v>11</v>
      </c>
      <c r="K60" s="225"/>
      <c r="L60" s="226"/>
      <c r="M60" s="30">
        <v>45569</v>
      </c>
      <c r="N60" s="4"/>
      <c r="O60" s="4"/>
      <c r="P60" s="4"/>
      <c r="Q60" s="4"/>
      <c r="R60" s="4"/>
    </row>
    <row r="61" spans="1:18" ht="15" customHeight="1" thickBot="1" x14ac:dyDescent="0.25">
      <c r="A61" s="60"/>
      <c r="B61" s="82"/>
      <c r="C61" s="83"/>
      <c r="D61" s="222"/>
      <c r="E61" s="223"/>
      <c r="F61" s="109"/>
      <c r="G61" s="110"/>
      <c r="H61" s="110"/>
      <c r="I61" s="170"/>
      <c r="J61" s="109"/>
      <c r="K61" s="110"/>
      <c r="L61" s="170"/>
      <c r="M61" s="27"/>
      <c r="N61" s="4"/>
      <c r="O61" s="4"/>
      <c r="P61" s="4"/>
      <c r="Q61" s="4"/>
      <c r="R61" s="4"/>
    </row>
    <row r="62" spans="1:18" ht="12.75" customHeight="1" x14ac:dyDescent="0.2">
      <c r="A62" s="58" t="str">
        <f>IF(C1=1,"USO DO FORNECEDOR","SUPPLIER USE")</f>
        <v>USO DO FORNECEDOR</v>
      </c>
      <c r="B62" s="167" t="str">
        <f>IF(C1=1,"6. Verificação da eficácia da ação corretiva"," 6.  Verification or the Effectiveness of Corrective Action")</f>
        <v>6. Verificação da eficácia da ação corretiva</v>
      </c>
      <c r="C62" s="105"/>
      <c r="D62" s="171" t="str">
        <f>IF(C1=1,"O problema foi resolvido? Como? Verificação através de evidências
estatísticas, ensaios em laboratório e/ou testes na fábrica."," Was the problem solved?  How? Check through the statistic evidences ,laboratory tests and/or factory tests.")</f>
        <v>O problema foi resolvido? Como? Verificação através de evidências
estatísticas, ensaios em laboratório e/ou testes na fábrica.</v>
      </c>
      <c r="E62" s="172"/>
      <c r="F62" s="172"/>
      <c r="G62" s="172"/>
      <c r="H62" s="172"/>
      <c r="I62" s="172"/>
      <c r="J62" s="172"/>
      <c r="K62" s="172"/>
      <c r="L62" s="172"/>
      <c r="M62" s="173"/>
      <c r="N62" s="4"/>
      <c r="O62" s="4"/>
      <c r="P62" s="4"/>
      <c r="Q62" s="4"/>
      <c r="R62" s="4"/>
    </row>
    <row r="63" spans="1:18" x14ac:dyDescent="0.2">
      <c r="A63" s="59"/>
      <c r="B63" s="168"/>
      <c r="C63" s="81"/>
      <c r="D63" s="174"/>
      <c r="E63" s="175"/>
      <c r="F63" s="175"/>
      <c r="G63" s="175"/>
      <c r="H63" s="175"/>
      <c r="I63" s="175"/>
      <c r="J63" s="175"/>
      <c r="K63" s="175"/>
      <c r="L63" s="175"/>
      <c r="M63" s="176"/>
      <c r="N63" s="4"/>
      <c r="O63" s="4"/>
      <c r="P63" s="4"/>
      <c r="Q63" s="4"/>
      <c r="R63" s="4"/>
    </row>
    <row r="64" spans="1:18" ht="9.9499999999999993" customHeight="1" x14ac:dyDescent="0.2">
      <c r="A64" s="59"/>
      <c r="B64" s="168"/>
      <c r="C64" s="81"/>
      <c r="D64" s="259" t="s">
        <v>43</v>
      </c>
      <c r="E64" s="260"/>
      <c r="F64" s="260"/>
      <c r="G64" s="260"/>
      <c r="H64" s="260"/>
      <c r="I64" s="260"/>
      <c r="J64" s="260"/>
      <c r="K64" s="260"/>
      <c r="L64" s="260"/>
      <c r="M64" s="261"/>
      <c r="N64" s="4"/>
      <c r="O64" s="4"/>
      <c r="P64" s="4"/>
      <c r="Q64" s="4"/>
      <c r="R64" s="4"/>
    </row>
    <row r="65" spans="1:18" ht="9.9499999999999993" customHeight="1" x14ac:dyDescent="0.2">
      <c r="A65" s="59"/>
      <c r="B65" s="168"/>
      <c r="C65" s="81"/>
      <c r="D65" s="262"/>
      <c r="E65" s="263"/>
      <c r="F65" s="263"/>
      <c r="G65" s="263"/>
      <c r="H65" s="263"/>
      <c r="I65" s="263"/>
      <c r="J65" s="263"/>
      <c r="K65" s="263"/>
      <c r="L65" s="263"/>
      <c r="M65" s="264"/>
      <c r="N65" s="4"/>
      <c r="O65" s="4"/>
      <c r="P65" s="4"/>
      <c r="Q65" s="4"/>
      <c r="R65" s="4"/>
    </row>
    <row r="66" spans="1:18" ht="9.9499999999999993" customHeight="1" x14ac:dyDescent="0.2">
      <c r="A66" s="59"/>
      <c r="B66" s="168"/>
      <c r="C66" s="81"/>
      <c r="D66" s="262"/>
      <c r="E66" s="263"/>
      <c r="F66" s="263"/>
      <c r="G66" s="263"/>
      <c r="H66" s="263"/>
      <c r="I66" s="263"/>
      <c r="J66" s="263"/>
      <c r="K66" s="263"/>
      <c r="L66" s="263"/>
      <c r="M66" s="264"/>
      <c r="N66" s="4"/>
      <c r="O66" s="4"/>
      <c r="P66" s="4"/>
      <c r="Q66" s="4"/>
      <c r="R66" s="4"/>
    </row>
    <row r="67" spans="1:18" ht="9.9499999999999993" customHeight="1" x14ac:dyDescent="0.2">
      <c r="A67" s="59"/>
      <c r="B67" s="168"/>
      <c r="C67" s="81"/>
      <c r="D67" s="262"/>
      <c r="E67" s="263"/>
      <c r="F67" s="263"/>
      <c r="G67" s="263"/>
      <c r="H67" s="263"/>
      <c r="I67" s="263"/>
      <c r="J67" s="263"/>
      <c r="K67" s="263"/>
      <c r="L67" s="263"/>
      <c r="M67" s="264"/>
      <c r="N67" s="4"/>
      <c r="O67" s="4"/>
      <c r="P67" s="4"/>
      <c r="Q67" s="4"/>
      <c r="R67" s="4"/>
    </row>
    <row r="68" spans="1:18" ht="9.9499999999999993" customHeight="1" x14ac:dyDescent="0.2">
      <c r="A68" s="59"/>
      <c r="B68" s="168"/>
      <c r="C68" s="81"/>
      <c r="D68" s="262"/>
      <c r="E68" s="263"/>
      <c r="F68" s="263"/>
      <c r="G68" s="263"/>
      <c r="H68" s="263"/>
      <c r="I68" s="263"/>
      <c r="J68" s="263"/>
      <c r="K68" s="263"/>
      <c r="L68" s="263"/>
      <c r="M68" s="264"/>
      <c r="N68" s="4"/>
      <c r="O68" s="4"/>
      <c r="P68" s="4"/>
      <c r="Q68" s="4"/>
      <c r="R68" s="4"/>
    </row>
    <row r="69" spans="1:18" ht="9.9499999999999993" customHeight="1" x14ac:dyDescent="0.2">
      <c r="A69" s="59"/>
      <c r="B69" s="168"/>
      <c r="C69" s="81"/>
      <c r="D69" s="265"/>
      <c r="E69" s="266"/>
      <c r="F69" s="266"/>
      <c r="G69" s="266"/>
      <c r="H69" s="266"/>
      <c r="I69" s="266"/>
      <c r="J69" s="266"/>
      <c r="K69" s="266"/>
      <c r="L69" s="266"/>
      <c r="M69" s="267"/>
      <c r="N69" s="4"/>
      <c r="O69" s="4"/>
      <c r="P69" s="4"/>
      <c r="Q69" s="4"/>
      <c r="R69" s="4"/>
    </row>
    <row r="70" spans="1:18" ht="25.5" customHeight="1" x14ac:dyDescent="0.2">
      <c r="A70" s="59"/>
      <c r="B70" s="168"/>
      <c r="C70" s="81"/>
      <c r="D70" s="227" t="str">
        <f>IF(C1=1,"Data do material OK    ( Ponto de corte)","
Material date OK (Cut-off point)")</f>
        <v>Data do material OK    ( Ponto de corte)</v>
      </c>
      <c r="E70" s="228"/>
      <c r="F70" s="229" t="str">
        <f>IF(C1=1,"Como as peças novas serão identificadas?","How will the new parts be identified?")</f>
        <v>Como as peças novas serão identificadas?</v>
      </c>
      <c r="G70" s="230"/>
      <c r="H70" s="230"/>
      <c r="I70" s="231"/>
      <c r="J70" s="218" t="str">
        <f>IF(C1=1,"Responsável pela verificação","Responsible for verification")</f>
        <v>Responsável pela verificação</v>
      </c>
      <c r="K70" s="218"/>
      <c r="L70" s="229" t="str">
        <f>IF(C1=1,"Data de verificação","
Check date")</f>
        <v>Data de verificação</v>
      </c>
      <c r="M70" s="232"/>
      <c r="N70" s="4"/>
      <c r="O70" s="4"/>
      <c r="P70" s="4"/>
      <c r="Q70" s="4"/>
      <c r="R70" s="4"/>
    </row>
    <row r="71" spans="1:18" ht="15" customHeight="1" thickBot="1" x14ac:dyDescent="0.25">
      <c r="A71" s="59"/>
      <c r="B71" s="169"/>
      <c r="C71" s="83"/>
      <c r="D71" s="219"/>
      <c r="E71" s="219"/>
      <c r="F71" s="220"/>
      <c r="G71" s="220"/>
      <c r="H71" s="220"/>
      <c r="I71" s="220"/>
      <c r="J71" s="220"/>
      <c r="K71" s="220"/>
      <c r="L71" s="220"/>
      <c r="M71" s="221"/>
      <c r="N71" s="4"/>
      <c r="O71" s="4"/>
      <c r="P71" s="4"/>
      <c r="Q71" s="4"/>
      <c r="R71" s="4"/>
    </row>
    <row r="72" spans="1:18" ht="15" customHeight="1" x14ac:dyDescent="0.2">
      <c r="A72" s="59"/>
      <c r="B72" s="167" t="str">
        <f>IF(C1=1,"7. Ação preventiva e evidência das ações","7. Preventive action and evidence of actions")</f>
        <v>7. Ação preventiva e evidência das ações</v>
      </c>
      <c r="C72" s="105"/>
      <c r="D72" s="268" t="str">
        <f>IF(C1=1,"Como este assunto será evitado no futuro?","How will this issue be avoided in the future?")</f>
        <v>Como este assunto será evitado no futuro?</v>
      </c>
      <c r="E72" s="269"/>
      <c r="F72" s="269"/>
      <c r="G72" s="269"/>
      <c r="H72" s="269"/>
      <c r="I72" s="269"/>
      <c r="J72" s="269"/>
      <c r="K72" s="269"/>
      <c r="L72" s="269"/>
      <c r="M72" s="270"/>
      <c r="N72" s="4"/>
      <c r="O72" s="4"/>
      <c r="P72" s="4"/>
      <c r="Q72" s="4"/>
      <c r="R72" s="4"/>
    </row>
    <row r="73" spans="1:18" ht="15" customHeight="1" x14ac:dyDescent="0.2">
      <c r="A73" s="59"/>
      <c r="B73" s="168"/>
      <c r="C73" s="81"/>
      <c r="D73" s="177" t="s">
        <v>42</v>
      </c>
      <c r="E73" s="178"/>
      <c r="F73" s="178"/>
      <c r="G73" s="178"/>
      <c r="H73" s="178"/>
      <c r="I73" s="178"/>
      <c r="J73" s="178"/>
      <c r="K73" s="178"/>
      <c r="L73" s="178"/>
      <c r="M73" s="179"/>
      <c r="N73" s="4"/>
      <c r="O73" s="4"/>
      <c r="P73" s="4"/>
      <c r="Q73" s="4"/>
      <c r="R73" s="4"/>
    </row>
    <row r="74" spans="1:18" ht="15" customHeight="1" x14ac:dyDescent="0.2">
      <c r="A74" s="59"/>
      <c r="B74" s="168"/>
      <c r="C74" s="81"/>
      <c r="D74" s="115"/>
      <c r="E74" s="180"/>
      <c r="F74" s="180"/>
      <c r="G74" s="180"/>
      <c r="H74" s="180"/>
      <c r="I74" s="180"/>
      <c r="J74" s="180"/>
      <c r="K74" s="180"/>
      <c r="L74" s="180"/>
      <c r="M74" s="181"/>
      <c r="N74" s="4"/>
      <c r="O74" s="4"/>
      <c r="P74" s="4"/>
      <c r="Q74" s="4"/>
      <c r="R74" s="4"/>
    </row>
    <row r="75" spans="1:18" ht="15" customHeight="1" x14ac:dyDescent="0.2">
      <c r="A75" s="59"/>
      <c r="B75" s="168"/>
      <c r="C75" s="81"/>
      <c r="D75" s="115"/>
      <c r="E75" s="180"/>
      <c r="F75" s="180"/>
      <c r="G75" s="180"/>
      <c r="H75" s="180"/>
      <c r="I75" s="180"/>
      <c r="J75" s="180"/>
      <c r="K75" s="180"/>
      <c r="L75" s="180"/>
      <c r="M75" s="181"/>
      <c r="N75" s="4"/>
      <c r="O75" s="4"/>
      <c r="P75" s="4"/>
      <c r="Q75" s="4"/>
      <c r="R75" s="4"/>
    </row>
    <row r="76" spans="1:18" ht="15" customHeight="1" x14ac:dyDescent="0.2">
      <c r="A76" s="59"/>
      <c r="B76" s="168"/>
      <c r="C76" s="81"/>
      <c r="D76" s="174"/>
      <c r="E76" s="175"/>
      <c r="F76" s="175"/>
      <c r="G76" s="175"/>
      <c r="H76" s="175"/>
      <c r="I76" s="175"/>
      <c r="J76" s="175"/>
      <c r="K76" s="175"/>
      <c r="L76" s="175"/>
      <c r="M76" s="176"/>
      <c r="N76" s="4"/>
      <c r="O76" s="4"/>
      <c r="P76" s="4"/>
      <c r="Q76" s="4"/>
      <c r="R76" s="4"/>
    </row>
    <row r="77" spans="1:18" ht="15" customHeight="1" x14ac:dyDescent="0.2">
      <c r="A77" s="59"/>
      <c r="B77" s="168"/>
      <c r="C77" s="81"/>
      <c r="D77" s="41" t="str">
        <f>IF(C1=1,"Implementação de ação preventiva para outros Processos? Produtos? Quais?","Will there be implementation of preventive action for other processes? Products? Which ones?")</f>
        <v>Implementação de ação preventiva para outros Processos? Produtos? Quais?</v>
      </c>
      <c r="E77" s="36"/>
      <c r="F77" s="36"/>
      <c r="G77" s="36"/>
      <c r="H77" s="36"/>
      <c r="I77" s="36"/>
      <c r="J77" s="36"/>
      <c r="K77" s="36"/>
      <c r="L77" s="36"/>
      <c r="M77" s="71"/>
      <c r="N77" s="4"/>
      <c r="O77" s="4"/>
      <c r="P77" s="4"/>
      <c r="Q77" s="4"/>
      <c r="R77" s="4"/>
    </row>
    <row r="78" spans="1:18" ht="15" customHeight="1" x14ac:dyDescent="0.2">
      <c r="A78" s="59"/>
      <c r="B78" s="168"/>
      <c r="C78" s="81"/>
      <c r="D78" s="182"/>
      <c r="E78" s="183"/>
      <c r="F78" s="183"/>
      <c r="G78" s="183"/>
      <c r="H78" s="183"/>
      <c r="I78" s="183"/>
      <c r="J78" s="183"/>
      <c r="K78" s="183"/>
      <c r="L78" s="183"/>
      <c r="M78" s="184"/>
      <c r="N78" s="4"/>
      <c r="O78" s="4"/>
      <c r="P78" s="4"/>
      <c r="Q78" s="4"/>
      <c r="R78" s="4"/>
    </row>
    <row r="79" spans="1:18" ht="15" customHeight="1" x14ac:dyDescent="0.2">
      <c r="A79" s="59"/>
      <c r="B79" s="168"/>
      <c r="C79" s="81"/>
      <c r="D79" s="185"/>
      <c r="E79" s="72"/>
      <c r="F79" s="72"/>
      <c r="G79" s="72"/>
      <c r="H79" s="72"/>
      <c r="I79" s="72"/>
      <c r="J79" s="72"/>
      <c r="K79" s="72"/>
      <c r="L79" s="72"/>
      <c r="M79" s="186"/>
      <c r="N79" s="4"/>
      <c r="O79" s="4"/>
      <c r="P79" s="4"/>
      <c r="Q79" s="4"/>
      <c r="R79" s="4"/>
    </row>
    <row r="80" spans="1:18" ht="15" customHeight="1" x14ac:dyDescent="0.2">
      <c r="A80" s="59"/>
      <c r="B80" s="168"/>
      <c r="C80" s="81"/>
      <c r="D80" s="185"/>
      <c r="E80" s="72"/>
      <c r="F80" s="72"/>
      <c r="G80" s="72"/>
      <c r="H80" s="72"/>
      <c r="I80" s="72"/>
      <c r="J80" s="72"/>
      <c r="K80" s="72"/>
      <c r="L80" s="72"/>
      <c r="M80" s="186"/>
      <c r="N80" s="4"/>
      <c r="O80" s="4"/>
      <c r="P80" s="4"/>
      <c r="Q80" s="4"/>
      <c r="R80" s="4"/>
    </row>
    <row r="81" spans="1:18" ht="15" customHeight="1" x14ac:dyDescent="0.2">
      <c r="A81" s="59"/>
      <c r="B81" s="168"/>
      <c r="C81" s="81"/>
      <c r="D81" s="185"/>
      <c r="E81" s="72"/>
      <c r="F81" s="72"/>
      <c r="G81" s="72"/>
      <c r="H81" s="72"/>
      <c r="I81" s="72"/>
      <c r="J81" s="72"/>
      <c r="K81" s="72"/>
      <c r="L81" s="72"/>
      <c r="M81" s="186"/>
      <c r="N81" s="4"/>
      <c r="O81" s="4"/>
      <c r="P81" s="4"/>
      <c r="Q81" s="4"/>
      <c r="R81" s="4"/>
    </row>
    <row r="82" spans="1:18" ht="15" customHeight="1" x14ac:dyDescent="0.2">
      <c r="A82" s="59"/>
      <c r="B82" s="168"/>
      <c r="C82" s="81"/>
      <c r="D82" s="157"/>
      <c r="E82" s="158"/>
      <c r="F82" s="158"/>
      <c r="G82" s="158"/>
      <c r="H82" s="158"/>
      <c r="I82" s="158"/>
      <c r="J82" s="158"/>
      <c r="K82" s="158"/>
      <c r="L82" s="158"/>
      <c r="M82" s="187"/>
      <c r="N82" s="4"/>
      <c r="O82" s="4"/>
      <c r="P82" s="4"/>
      <c r="Q82" s="4"/>
      <c r="R82" s="4"/>
    </row>
    <row r="83" spans="1:18" ht="15" customHeight="1" x14ac:dyDescent="0.2">
      <c r="A83" s="59"/>
      <c r="B83" s="168"/>
      <c r="C83" s="81"/>
      <c r="D83" s="41" t="str">
        <f>IF(C1=1,"Responsável pela avaliação","Responsible for evaluation")</f>
        <v>Responsável pela avaliação</v>
      </c>
      <c r="E83" s="36"/>
      <c r="F83" s="36"/>
      <c r="G83" s="36"/>
      <c r="H83" s="37"/>
      <c r="I83" s="36" t="str">
        <f>IF(C1=1,"Data de conclusão da avaliação","Evaluation Completion Date")</f>
        <v>Data de conclusão da avaliação</v>
      </c>
      <c r="J83" s="36"/>
      <c r="K83" s="36"/>
      <c r="L83" s="36"/>
      <c r="M83" s="71"/>
      <c r="N83" s="4"/>
      <c r="O83" s="4"/>
      <c r="P83" s="4"/>
      <c r="Q83" s="4"/>
      <c r="R83" s="4"/>
    </row>
    <row r="84" spans="1:18" ht="15" customHeight="1" x14ac:dyDescent="0.2">
      <c r="A84" s="59"/>
      <c r="B84" s="168"/>
      <c r="C84" s="81"/>
      <c r="D84" s="38" t="s">
        <v>44</v>
      </c>
      <c r="E84" s="38"/>
      <c r="F84" s="38"/>
      <c r="G84" s="38"/>
      <c r="H84" s="38"/>
      <c r="I84" s="70"/>
      <c r="J84" s="36"/>
      <c r="K84" s="36"/>
      <c r="L84" s="36"/>
      <c r="M84" s="71"/>
      <c r="N84" s="4"/>
      <c r="O84" s="4"/>
      <c r="P84" s="4"/>
      <c r="Q84" s="4"/>
      <c r="R84" s="4"/>
    </row>
    <row r="85" spans="1:18" ht="15" customHeight="1" x14ac:dyDescent="0.2">
      <c r="A85" s="59"/>
      <c r="B85" s="168"/>
      <c r="C85" s="81"/>
      <c r="D85" s="177" t="str">
        <f>IF(C1=1,"Documentação necessária foi atualizada ou criada?","Has the required documentation been updated or created?")</f>
        <v>Documentação necessária foi atualizada ou criada?</v>
      </c>
      <c r="E85" s="271"/>
      <c r="F85" s="38" t="str">
        <f>IF(C1=1,"Documentos afetados","Affected documents")</f>
        <v>Documentos afetados</v>
      </c>
      <c r="G85" s="38"/>
      <c r="H85" s="38"/>
      <c r="I85" s="38" t="str">
        <f>IF(C1=1,"Responsável","Responsible")</f>
        <v>Responsável</v>
      </c>
      <c r="J85" s="38"/>
      <c r="K85" s="38" t="str">
        <f>IF(C1=1,"Data","Date")</f>
        <v>Data</v>
      </c>
      <c r="L85" s="38"/>
      <c r="M85" s="274"/>
      <c r="N85" s="4"/>
      <c r="O85" s="4"/>
      <c r="P85" s="4"/>
      <c r="Q85" s="4"/>
      <c r="R85" s="4"/>
    </row>
    <row r="86" spans="1:18" ht="15" customHeight="1" x14ac:dyDescent="0.2">
      <c r="A86" s="59"/>
      <c r="B86" s="168"/>
      <c r="C86" s="81"/>
      <c r="D86" s="115"/>
      <c r="E86" s="272"/>
      <c r="F86" s="38"/>
      <c r="G86" s="38"/>
      <c r="H86" s="38"/>
      <c r="I86" s="38"/>
      <c r="J86" s="38"/>
      <c r="K86" s="275"/>
      <c r="L86" s="38"/>
      <c r="M86" s="274"/>
      <c r="N86" s="4"/>
      <c r="O86" s="4"/>
      <c r="P86" s="4"/>
      <c r="Q86" s="4"/>
      <c r="R86" s="4"/>
    </row>
    <row r="87" spans="1:18" ht="15" customHeight="1" x14ac:dyDescent="0.2">
      <c r="A87" s="59"/>
      <c r="B87" s="168"/>
      <c r="C87" s="81"/>
      <c r="D87" s="115"/>
      <c r="E87" s="272"/>
      <c r="F87" s="38"/>
      <c r="G87" s="38"/>
      <c r="H87" s="38"/>
      <c r="I87" s="38"/>
      <c r="J87" s="38"/>
      <c r="K87" s="275"/>
      <c r="L87" s="38"/>
      <c r="M87" s="274"/>
      <c r="N87" s="4"/>
      <c r="O87" s="4"/>
      <c r="P87" s="4"/>
      <c r="Q87" s="4"/>
      <c r="R87" s="4"/>
    </row>
    <row r="88" spans="1:18" ht="15" customHeight="1" x14ac:dyDescent="0.2">
      <c r="A88" s="59"/>
      <c r="B88" s="168"/>
      <c r="C88" s="81"/>
      <c r="D88" s="115"/>
      <c r="E88" s="272"/>
      <c r="F88" s="38"/>
      <c r="G88" s="38"/>
      <c r="H88" s="38"/>
      <c r="I88" s="38"/>
      <c r="J88" s="38"/>
      <c r="K88" s="275"/>
      <c r="L88" s="38"/>
      <c r="M88" s="274"/>
      <c r="N88" s="4"/>
      <c r="O88" s="4"/>
      <c r="P88" s="4"/>
      <c r="Q88" s="4"/>
      <c r="R88" s="4"/>
    </row>
    <row r="89" spans="1:18" ht="15" customHeight="1" x14ac:dyDescent="0.2">
      <c r="A89" s="59"/>
      <c r="B89" s="168"/>
      <c r="C89" s="81"/>
      <c r="D89" s="174"/>
      <c r="E89" s="273"/>
      <c r="F89" s="38"/>
      <c r="G89" s="38"/>
      <c r="H89" s="38"/>
      <c r="I89" s="38"/>
      <c r="J89" s="38"/>
      <c r="K89" s="38"/>
      <c r="L89" s="38"/>
      <c r="M89" s="274"/>
      <c r="N89" s="4"/>
      <c r="O89" s="4"/>
      <c r="P89" s="4"/>
      <c r="Q89" s="4"/>
      <c r="R89" s="4"/>
    </row>
    <row r="90" spans="1:18" ht="15" customHeight="1" x14ac:dyDescent="0.2">
      <c r="A90" s="59"/>
      <c r="B90" s="168"/>
      <c r="C90" s="81"/>
      <c r="D90" s="237" t="str">
        <f>IF(C1=1,"Inserir evidências","
Insert evidence")</f>
        <v>Inserir evidências</v>
      </c>
      <c r="E90" s="238"/>
      <c r="F90" s="238"/>
      <c r="G90" s="238"/>
      <c r="H90" s="239"/>
      <c r="I90" s="237" t="str">
        <f>D90</f>
        <v>Inserir evidências</v>
      </c>
      <c r="J90" s="238"/>
      <c r="K90" s="238"/>
      <c r="L90" s="238"/>
      <c r="M90" s="246"/>
      <c r="N90" s="4"/>
      <c r="O90" s="4"/>
      <c r="P90" s="4"/>
      <c r="Q90" s="4"/>
      <c r="R90" s="4"/>
    </row>
    <row r="91" spans="1:18" ht="15" customHeight="1" x14ac:dyDescent="0.2">
      <c r="A91" s="59"/>
      <c r="B91" s="168"/>
      <c r="C91" s="81"/>
      <c r="D91" s="240"/>
      <c r="E91" s="241"/>
      <c r="F91" s="241"/>
      <c r="G91" s="241"/>
      <c r="H91" s="242"/>
      <c r="I91" s="240"/>
      <c r="J91" s="241"/>
      <c r="K91" s="241"/>
      <c r="L91" s="241"/>
      <c r="M91" s="247"/>
      <c r="N91" s="4"/>
      <c r="O91" s="4"/>
      <c r="P91" s="4"/>
      <c r="Q91" s="4"/>
      <c r="R91" s="4"/>
    </row>
    <row r="92" spans="1:18" ht="15" customHeight="1" x14ac:dyDescent="0.2">
      <c r="A92" s="59"/>
      <c r="B92" s="168"/>
      <c r="C92" s="81"/>
      <c r="D92" s="240"/>
      <c r="E92" s="241"/>
      <c r="F92" s="241"/>
      <c r="G92" s="241"/>
      <c r="H92" s="242"/>
      <c r="I92" s="240"/>
      <c r="J92" s="241"/>
      <c r="K92" s="241"/>
      <c r="L92" s="241"/>
      <c r="M92" s="247"/>
      <c r="N92" s="4"/>
      <c r="O92" s="4"/>
      <c r="P92" s="4"/>
      <c r="Q92" s="4"/>
      <c r="R92" s="4"/>
    </row>
    <row r="93" spans="1:18" ht="15" customHeight="1" x14ac:dyDescent="0.2">
      <c r="A93" s="59"/>
      <c r="B93" s="168"/>
      <c r="C93" s="81"/>
      <c r="D93" s="240"/>
      <c r="E93" s="241"/>
      <c r="F93" s="241"/>
      <c r="G93" s="241"/>
      <c r="H93" s="242"/>
      <c r="I93" s="240"/>
      <c r="J93" s="241"/>
      <c r="K93" s="241"/>
      <c r="L93" s="241"/>
      <c r="M93" s="247"/>
      <c r="N93" s="4"/>
      <c r="O93" s="4"/>
      <c r="P93" s="4"/>
      <c r="Q93" s="4"/>
      <c r="R93" s="4"/>
    </row>
    <row r="94" spans="1:18" ht="15" customHeight="1" x14ac:dyDescent="0.2">
      <c r="A94" s="59"/>
      <c r="B94" s="168"/>
      <c r="C94" s="81"/>
      <c r="D94" s="240"/>
      <c r="E94" s="241"/>
      <c r="F94" s="241"/>
      <c r="G94" s="241"/>
      <c r="H94" s="242"/>
      <c r="I94" s="240"/>
      <c r="J94" s="241"/>
      <c r="K94" s="241"/>
      <c r="L94" s="241"/>
      <c r="M94" s="247"/>
      <c r="N94" s="4"/>
      <c r="O94" s="4"/>
      <c r="P94" s="4"/>
      <c r="Q94" s="4"/>
      <c r="R94" s="4"/>
    </row>
    <row r="95" spans="1:18" ht="15" customHeight="1" x14ac:dyDescent="0.2">
      <c r="A95" s="59"/>
      <c r="B95" s="168"/>
      <c r="C95" s="81"/>
      <c r="D95" s="240"/>
      <c r="E95" s="241"/>
      <c r="F95" s="241"/>
      <c r="G95" s="241"/>
      <c r="H95" s="242"/>
      <c r="I95" s="240"/>
      <c r="J95" s="241"/>
      <c r="K95" s="241"/>
      <c r="L95" s="241"/>
      <c r="M95" s="247"/>
      <c r="N95" s="4"/>
      <c r="O95" s="4"/>
      <c r="P95" s="4"/>
      <c r="Q95" s="4"/>
      <c r="R95" s="4"/>
    </row>
    <row r="96" spans="1:18" ht="15" customHeight="1" x14ac:dyDescent="0.2">
      <c r="A96" s="59"/>
      <c r="B96" s="168"/>
      <c r="C96" s="81"/>
      <c r="D96" s="240"/>
      <c r="E96" s="241"/>
      <c r="F96" s="241"/>
      <c r="G96" s="241"/>
      <c r="H96" s="242"/>
      <c r="I96" s="240"/>
      <c r="J96" s="241"/>
      <c r="K96" s="241"/>
      <c r="L96" s="241"/>
      <c r="M96" s="247"/>
      <c r="N96" s="4"/>
      <c r="O96" s="4"/>
      <c r="P96" s="4"/>
      <c r="Q96" s="4"/>
      <c r="R96" s="4"/>
    </row>
    <row r="97" spans="1:18" ht="15" customHeight="1" x14ac:dyDescent="0.2">
      <c r="A97" s="59"/>
      <c r="B97" s="168"/>
      <c r="C97" s="81"/>
      <c r="D97" s="240"/>
      <c r="E97" s="241"/>
      <c r="F97" s="241"/>
      <c r="G97" s="241"/>
      <c r="H97" s="242"/>
      <c r="I97" s="240"/>
      <c r="J97" s="241"/>
      <c r="K97" s="241"/>
      <c r="L97" s="241"/>
      <c r="M97" s="247"/>
      <c r="N97" s="4"/>
      <c r="O97" s="4"/>
      <c r="P97" s="4"/>
      <c r="Q97" s="4"/>
      <c r="R97" s="4"/>
    </row>
    <row r="98" spans="1:18" ht="15" customHeight="1" x14ac:dyDescent="0.2">
      <c r="A98" s="59"/>
      <c r="B98" s="168"/>
      <c r="C98" s="81"/>
      <c r="D98" s="243"/>
      <c r="E98" s="244"/>
      <c r="F98" s="244"/>
      <c r="G98" s="244"/>
      <c r="H98" s="245"/>
      <c r="I98" s="243"/>
      <c r="J98" s="244"/>
      <c r="K98" s="244"/>
      <c r="L98" s="244"/>
      <c r="M98" s="248"/>
      <c r="N98" s="4"/>
      <c r="O98" s="4"/>
      <c r="P98" s="4"/>
      <c r="Q98" s="4"/>
      <c r="R98" s="4"/>
    </row>
    <row r="99" spans="1:18" ht="15" customHeight="1" x14ac:dyDescent="0.2">
      <c r="A99" s="59"/>
      <c r="B99" s="168"/>
      <c r="C99" s="81"/>
      <c r="D99" s="237" t="str">
        <f>D90</f>
        <v>Inserir evidências</v>
      </c>
      <c r="E99" s="238"/>
      <c r="F99" s="238"/>
      <c r="G99" s="238"/>
      <c r="H99" s="239"/>
      <c r="I99" s="237" t="str">
        <f>I90</f>
        <v>Inserir evidências</v>
      </c>
      <c r="J99" s="238"/>
      <c r="K99" s="238"/>
      <c r="L99" s="238"/>
      <c r="M99" s="246"/>
      <c r="N99" s="4"/>
      <c r="O99" s="4"/>
      <c r="P99" s="4"/>
      <c r="Q99" s="4"/>
      <c r="R99" s="4"/>
    </row>
    <row r="100" spans="1:18" ht="15" customHeight="1" x14ac:dyDescent="0.2">
      <c r="A100" s="59"/>
      <c r="B100" s="168"/>
      <c r="C100" s="81"/>
      <c r="D100" s="240"/>
      <c r="E100" s="241"/>
      <c r="F100" s="241"/>
      <c r="G100" s="241"/>
      <c r="H100" s="242"/>
      <c r="I100" s="240"/>
      <c r="J100" s="241"/>
      <c r="K100" s="241"/>
      <c r="L100" s="241"/>
      <c r="M100" s="247"/>
      <c r="N100" s="4"/>
      <c r="O100" s="4"/>
      <c r="P100" s="4"/>
      <c r="Q100" s="4"/>
      <c r="R100" s="4"/>
    </row>
    <row r="101" spans="1:18" ht="15" customHeight="1" x14ac:dyDescent="0.2">
      <c r="A101" s="59"/>
      <c r="B101" s="168"/>
      <c r="C101" s="81"/>
      <c r="D101" s="240"/>
      <c r="E101" s="241"/>
      <c r="F101" s="241"/>
      <c r="G101" s="241"/>
      <c r="H101" s="242"/>
      <c r="I101" s="240"/>
      <c r="J101" s="241"/>
      <c r="K101" s="241"/>
      <c r="L101" s="241"/>
      <c r="M101" s="247"/>
      <c r="N101" s="4"/>
      <c r="O101" s="4"/>
      <c r="P101" s="4"/>
      <c r="Q101" s="4"/>
      <c r="R101" s="4"/>
    </row>
    <row r="102" spans="1:18" ht="15" customHeight="1" x14ac:dyDescent="0.2">
      <c r="A102" s="59"/>
      <c r="B102" s="168"/>
      <c r="C102" s="81"/>
      <c r="D102" s="240"/>
      <c r="E102" s="241"/>
      <c r="F102" s="241"/>
      <c r="G102" s="241"/>
      <c r="H102" s="242"/>
      <c r="I102" s="240"/>
      <c r="J102" s="241"/>
      <c r="K102" s="241"/>
      <c r="L102" s="241"/>
      <c r="M102" s="247"/>
      <c r="N102" s="4"/>
      <c r="O102" s="4"/>
      <c r="P102" s="4"/>
      <c r="Q102" s="4"/>
      <c r="R102" s="4"/>
    </row>
    <row r="103" spans="1:18" ht="15" customHeight="1" x14ac:dyDescent="0.2">
      <c r="A103" s="59"/>
      <c r="B103" s="168"/>
      <c r="C103" s="81"/>
      <c r="D103" s="240"/>
      <c r="E103" s="241"/>
      <c r="F103" s="241"/>
      <c r="G103" s="241"/>
      <c r="H103" s="242"/>
      <c r="I103" s="240"/>
      <c r="J103" s="241"/>
      <c r="K103" s="241"/>
      <c r="L103" s="241"/>
      <c r="M103" s="247"/>
      <c r="N103" s="4"/>
      <c r="O103" s="4"/>
      <c r="P103" s="4"/>
      <c r="Q103" s="4"/>
      <c r="R103" s="4"/>
    </row>
    <row r="104" spans="1:18" ht="15" customHeight="1" x14ac:dyDescent="0.2">
      <c r="A104" s="59"/>
      <c r="B104" s="168"/>
      <c r="C104" s="81"/>
      <c r="D104" s="240"/>
      <c r="E104" s="241"/>
      <c r="F104" s="241"/>
      <c r="G104" s="241"/>
      <c r="H104" s="242"/>
      <c r="I104" s="240"/>
      <c r="J104" s="241"/>
      <c r="K104" s="241"/>
      <c r="L104" s="241"/>
      <c r="M104" s="247"/>
      <c r="N104" s="4"/>
      <c r="O104" s="4"/>
      <c r="P104" s="4"/>
      <c r="Q104" s="4"/>
      <c r="R104" s="4"/>
    </row>
    <row r="105" spans="1:18" ht="15" customHeight="1" x14ac:dyDescent="0.2">
      <c r="A105" s="59"/>
      <c r="B105" s="168"/>
      <c r="C105" s="81"/>
      <c r="D105" s="240"/>
      <c r="E105" s="241"/>
      <c r="F105" s="241"/>
      <c r="G105" s="241"/>
      <c r="H105" s="242"/>
      <c r="I105" s="240"/>
      <c r="J105" s="241"/>
      <c r="K105" s="241"/>
      <c r="L105" s="241"/>
      <c r="M105" s="247"/>
      <c r="N105" s="4"/>
      <c r="O105" s="4"/>
      <c r="P105" s="4"/>
      <c r="Q105" s="4"/>
      <c r="R105" s="4"/>
    </row>
    <row r="106" spans="1:18" ht="39" customHeight="1" thickBot="1" x14ac:dyDescent="0.25">
      <c r="A106" s="60"/>
      <c r="B106" s="169"/>
      <c r="C106" s="83"/>
      <c r="D106" s="249"/>
      <c r="E106" s="250"/>
      <c r="F106" s="250"/>
      <c r="G106" s="250"/>
      <c r="H106" s="251"/>
      <c r="I106" s="249"/>
      <c r="J106" s="250"/>
      <c r="K106" s="250"/>
      <c r="L106" s="250"/>
      <c r="M106" s="252"/>
      <c r="N106" s="4"/>
      <c r="O106" s="4"/>
      <c r="P106" s="4"/>
      <c r="Q106" s="4"/>
      <c r="R106" s="4"/>
    </row>
    <row r="107" spans="1:18" ht="15" customHeight="1" x14ac:dyDescent="0.2">
      <c r="A107" s="280" t="str">
        <f>IF(C1=1," Uso WEG","WEG USE")</f>
        <v xml:space="preserve"> Uso WEG</v>
      </c>
      <c r="B107" s="253" t="str">
        <f>IF(C1=1,"8. Verificação da eficácia","8. Verification of effectiveness")</f>
        <v>8. Verificação da eficácia</v>
      </c>
      <c r="C107" s="254"/>
      <c r="D107" s="268" t="str">
        <f>IF(C1=1,"Fechamento do relatório 8D","Closing the 8D report")</f>
        <v>Fechamento do relatório 8D</v>
      </c>
      <c r="E107" s="269"/>
      <c r="F107" s="269"/>
      <c r="G107" s="269"/>
      <c r="H107" s="269"/>
      <c r="I107" s="269"/>
      <c r="J107" s="269"/>
      <c r="K107" s="269"/>
      <c r="L107" s="269"/>
      <c r="M107" s="270"/>
      <c r="N107" s="4"/>
      <c r="O107" s="4"/>
      <c r="P107" s="4"/>
      <c r="Q107" s="4"/>
      <c r="R107" s="4"/>
    </row>
    <row r="108" spans="1:18" ht="39.950000000000003" customHeight="1" x14ac:dyDescent="0.2">
      <c r="A108" s="281"/>
      <c r="B108" s="255"/>
      <c r="C108" s="256"/>
      <c r="D108" s="283" t="str">
        <f>IF(C1=1,"Conforme status da nota QM.","According to the status of the QM note.")</f>
        <v>Conforme status da nota QM.</v>
      </c>
      <c r="E108" s="283"/>
      <c r="F108" s="283"/>
      <c r="G108" s="283"/>
      <c r="H108" s="283"/>
      <c r="I108" s="283"/>
      <c r="J108" s="283"/>
      <c r="K108" s="283"/>
      <c r="L108" s="283"/>
      <c r="M108" s="284"/>
      <c r="N108" s="4"/>
      <c r="O108" s="4"/>
      <c r="P108" s="4"/>
      <c r="Q108" s="4"/>
      <c r="R108" s="4"/>
    </row>
    <row r="109" spans="1:18" ht="45" customHeight="1" thickBot="1" x14ac:dyDescent="0.25">
      <c r="A109" s="282"/>
      <c r="B109" s="257"/>
      <c r="C109" s="258"/>
      <c r="D109" s="220"/>
      <c r="E109" s="220"/>
      <c r="F109" s="220"/>
      <c r="G109" s="220"/>
      <c r="H109" s="220"/>
      <c r="I109" s="220"/>
      <c r="J109" s="220"/>
      <c r="K109" s="220"/>
      <c r="L109" s="220"/>
      <c r="M109" s="221"/>
      <c r="N109" s="4"/>
      <c r="O109" s="4"/>
      <c r="P109" s="4"/>
      <c r="Q109" s="4"/>
      <c r="R109" s="4"/>
    </row>
    <row r="110" spans="1:18" ht="14.25" customHeight="1" x14ac:dyDescent="0.2">
      <c r="A110" s="236" t="s">
        <v>6</v>
      </c>
      <c r="B110" s="236"/>
      <c r="C110" s="236"/>
      <c r="D110" s="236"/>
      <c r="E110" s="236"/>
      <c r="F110" s="236"/>
      <c r="G110" s="236"/>
      <c r="H110" s="236"/>
      <c r="I110" s="236"/>
      <c r="J110" s="236"/>
      <c r="K110" s="236"/>
      <c r="L110" s="236"/>
      <c r="M110" s="236"/>
      <c r="N110" s="4"/>
      <c r="O110" s="4"/>
      <c r="P110" s="4"/>
      <c r="Q110" s="4"/>
      <c r="R110" s="4"/>
    </row>
    <row r="111" spans="1:18" x14ac:dyDescent="0.2">
      <c r="A111" s="3"/>
      <c r="B111" s="3"/>
      <c r="C111" s="3"/>
      <c r="D111" s="4"/>
      <c r="E111" s="4"/>
      <c r="F111" s="4"/>
      <c r="G111" s="4"/>
      <c r="H111" s="4"/>
      <c r="I111" s="4"/>
      <c r="J111" s="4"/>
      <c r="K111" s="4"/>
      <c r="L111" s="4"/>
      <c r="M111" s="4"/>
      <c r="N111" s="4"/>
      <c r="O111" s="4"/>
      <c r="P111" s="4"/>
      <c r="Q111" s="4"/>
      <c r="R111" s="4"/>
    </row>
    <row r="112" spans="1:18" ht="15" customHeight="1" x14ac:dyDescent="0.2">
      <c r="A112" s="4"/>
      <c r="B112" s="4"/>
      <c r="C112" s="4"/>
      <c r="D112" s="4"/>
      <c r="E112" s="4"/>
      <c r="F112" s="4"/>
      <c r="G112" s="4"/>
      <c r="H112" s="4"/>
      <c r="I112" s="4"/>
      <c r="J112" s="4"/>
      <c r="K112" s="4"/>
      <c r="L112" s="4"/>
      <c r="M112" s="4"/>
      <c r="N112" s="4"/>
      <c r="O112" s="4"/>
      <c r="P112" s="4"/>
      <c r="Q112" s="4"/>
      <c r="R112" s="4"/>
    </row>
    <row r="113" spans="1:18" ht="15" customHeight="1" x14ac:dyDescent="0.2">
      <c r="A113" s="4"/>
      <c r="B113" s="4"/>
      <c r="C113" s="4"/>
      <c r="D113" s="4"/>
      <c r="E113" s="4"/>
      <c r="F113" s="4"/>
      <c r="G113" s="4"/>
      <c r="H113" s="4"/>
      <c r="I113" s="4"/>
      <c r="J113" s="4"/>
      <c r="K113" s="4"/>
      <c r="L113" s="4"/>
      <c r="M113" s="4"/>
      <c r="N113" s="4"/>
      <c r="O113" s="4"/>
      <c r="P113" s="4"/>
      <c r="Q113" s="4"/>
      <c r="R113" s="4"/>
    </row>
    <row r="114" spans="1:18" x14ac:dyDescent="0.2">
      <c r="A114" s="4"/>
      <c r="B114" s="4"/>
      <c r="C114" s="4"/>
      <c r="D114" s="4"/>
      <c r="E114" s="4"/>
      <c r="F114" s="4"/>
      <c r="G114" s="4"/>
      <c r="H114" s="4"/>
      <c r="I114" s="4"/>
      <c r="J114" s="4"/>
      <c r="K114" s="4"/>
      <c r="L114" s="4"/>
      <c r="M114" s="4"/>
      <c r="N114" s="4"/>
      <c r="O114" s="4"/>
      <c r="P114" s="4"/>
      <c r="Q114" s="4"/>
      <c r="R114" s="4"/>
    </row>
    <row r="115" spans="1:18" x14ac:dyDescent="0.2">
      <c r="A115" s="4"/>
      <c r="B115" s="4"/>
      <c r="C115" s="4"/>
      <c r="D115" s="4"/>
      <c r="E115" s="4"/>
      <c r="F115" s="4"/>
      <c r="G115" s="4"/>
      <c r="H115" s="4"/>
      <c r="I115" s="4"/>
      <c r="J115" s="4"/>
      <c r="K115" s="4"/>
      <c r="L115" s="4"/>
      <c r="M115" s="4"/>
      <c r="N115" s="4"/>
      <c r="O115" s="4"/>
      <c r="P115" s="4"/>
      <c r="Q115" s="4"/>
      <c r="R115" s="4"/>
    </row>
    <row r="116" spans="1:18" x14ac:dyDescent="0.2">
      <c r="A116" s="4"/>
      <c r="B116" s="4"/>
      <c r="C116" s="4"/>
      <c r="D116" s="4"/>
      <c r="E116" s="4"/>
      <c r="F116" s="4"/>
      <c r="G116" s="4"/>
      <c r="H116" s="4"/>
      <c r="I116" s="4"/>
      <c r="J116" s="4"/>
      <c r="K116" s="4"/>
      <c r="L116" s="4"/>
      <c r="M116" s="4"/>
      <c r="N116" s="4"/>
      <c r="O116" s="4"/>
      <c r="P116" s="4"/>
      <c r="Q116" s="4"/>
      <c r="R116" s="4"/>
    </row>
    <row r="117" spans="1:18" x14ac:dyDescent="0.2">
      <c r="A117" s="4"/>
      <c r="B117" s="4"/>
      <c r="C117" s="4"/>
      <c r="D117" s="4"/>
      <c r="E117" s="4"/>
      <c r="F117" s="4"/>
      <c r="G117" s="4"/>
      <c r="H117" s="4"/>
      <c r="I117" s="4"/>
      <c r="J117" s="4"/>
      <c r="K117" s="4"/>
      <c r="L117" s="4"/>
      <c r="M117" s="4"/>
      <c r="N117" s="4"/>
      <c r="O117" s="4"/>
      <c r="P117" s="4"/>
      <c r="Q117" s="4"/>
      <c r="R117" s="4"/>
    </row>
    <row r="118" spans="1:18" x14ac:dyDescent="0.2">
      <c r="A118" s="4"/>
      <c r="B118" s="4"/>
      <c r="C118" s="4"/>
      <c r="D118" s="4"/>
      <c r="E118" s="4"/>
      <c r="F118" s="4"/>
      <c r="G118" s="4"/>
      <c r="H118" s="4"/>
      <c r="I118" s="4"/>
      <c r="J118" s="4"/>
      <c r="K118" s="4"/>
      <c r="L118" s="4"/>
      <c r="M118" s="4"/>
      <c r="N118" s="4"/>
      <c r="O118" s="4"/>
      <c r="P118" s="4"/>
      <c r="Q118" s="4"/>
      <c r="R118" s="4"/>
    </row>
    <row r="119" spans="1:18" x14ac:dyDescent="0.2">
      <c r="D119" s="4"/>
      <c r="E119" s="4"/>
      <c r="F119" s="4"/>
      <c r="G119" s="4"/>
      <c r="H119" s="4"/>
      <c r="I119" s="4"/>
      <c r="J119" s="4"/>
      <c r="K119" s="4"/>
      <c r="L119" s="4"/>
      <c r="M119" s="4"/>
      <c r="N119" s="4"/>
      <c r="O119" s="4"/>
      <c r="P119" s="4"/>
      <c r="Q119" s="4"/>
      <c r="R119" s="4"/>
    </row>
  </sheetData>
  <mergeCells count="197">
    <mergeCell ref="A1:B3"/>
    <mergeCell ref="D107:M107"/>
    <mergeCell ref="A107:A109"/>
    <mergeCell ref="D108:M109"/>
    <mergeCell ref="G21:H21"/>
    <mergeCell ref="J21:M21"/>
    <mergeCell ref="J55:L55"/>
    <mergeCell ref="J56:L56"/>
    <mergeCell ref="J58:L58"/>
    <mergeCell ref="J59:L59"/>
    <mergeCell ref="J60:L60"/>
    <mergeCell ref="J61:L61"/>
    <mergeCell ref="G35:I35"/>
    <mergeCell ref="G36:I36"/>
    <mergeCell ref="G39:I39"/>
    <mergeCell ref="G40:I40"/>
    <mergeCell ref="E35:F35"/>
    <mergeCell ref="E36:F36"/>
    <mergeCell ref="E39:F39"/>
    <mergeCell ref="E40:F40"/>
    <mergeCell ref="B30:C40"/>
    <mergeCell ref="K88:M88"/>
    <mergeCell ref="K89:M89"/>
    <mergeCell ref="B62:C71"/>
    <mergeCell ref="A110:M110"/>
    <mergeCell ref="D90:H98"/>
    <mergeCell ref="I90:M98"/>
    <mergeCell ref="D99:H106"/>
    <mergeCell ref="I99:M106"/>
    <mergeCell ref="B107:C109"/>
    <mergeCell ref="D55:E55"/>
    <mergeCell ref="F55:I55"/>
    <mergeCell ref="D64:M69"/>
    <mergeCell ref="D72:M72"/>
    <mergeCell ref="D85:E89"/>
    <mergeCell ref="F85:H85"/>
    <mergeCell ref="I85:J85"/>
    <mergeCell ref="K85:M85"/>
    <mergeCell ref="F86:H86"/>
    <mergeCell ref="F87:H87"/>
    <mergeCell ref="F88:H88"/>
    <mergeCell ref="F89:H89"/>
    <mergeCell ref="I86:J86"/>
    <mergeCell ref="I87:J87"/>
    <mergeCell ref="I88:J88"/>
    <mergeCell ref="I89:J89"/>
    <mergeCell ref="K86:M86"/>
    <mergeCell ref="K87:M87"/>
    <mergeCell ref="J70:K70"/>
    <mergeCell ref="D71:E71"/>
    <mergeCell ref="F71:I71"/>
    <mergeCell ref="J71:K71"/>
    <mergeCell ref="L71:M71"/>
    <mergeCell ref="D56:E56"/>
    <mergeCell ref="D58:E58"/>
    <mergeCell ref="D59:E59"/>
    <mergeCell ref="D60:E60"/>
    <mergeCell ref="D61:E61"/>
    <mergeCell ref="F56:I56"/>
    <mergeCell ref="F58:I58"/>
    <mergeCell ref="F59:I59"/>
    <mergeCell ref="F60:I60"/>
    <mergeCell ref="D70:E70"/>
    <mergeCell ref="F70:I70"/>
    <mergeCell ref="L70:M70"/>
    <mergeCell ref="D57:E57"/>
    <mergeCell ref="F57:I57"/>
    <mergeCell ref="J57:L57"/>
    <mergeCell ref="B72:C106"/>
    <mergeCell ref="F61:I61"/>
    <mergeCell ref="D62:M63"/>
    <mergeCell ref="D73:M76"/>
    <mergeCell ref="D77:M77"/>
    <mergeCell ref="D78:M82"/>
    <mergeCell ref="D83:H83"/>
    <mergeCell ref="I83:M83"/>
    <mergeCell ref="H6:I6"/>
    <mergeCell ref="E14:H14"/>
    <mergeCell ref="I14:M14"/>
    <mergeCell ref="D22:G22"/>
    <mergeCell ref="H22:M22"/>
    <mergeCell ref="D23:G23"/>
    <mergeCell ref="A11:D11"/>
    <mergeCell ref="A12:D12"/>
    <mergeCell ref="A22:A61"/>
    <mergeCell ref="E11:G11"/>
    <mergeCell ref="A15:D17"/>
    <mergeCell ref="E15:H17"/>
    <mergeCell ref="A18:B20"/>
    <mergeCell ref="D30:M32"/>
    <mergeCell ref="B54:C61"/>
    <mergeCell ref="D54:M54"/>
    <mergeCell ref="K49:L52"/>
    <mergeCell ref="J39:L39"/>
    <mergeCell ref="I46:J46"/>
    <mergeCell ref="K46:L46"/>
    <mergeCell ref="E53:F53"/>
    <mergeCell ref="G53:H53"/>
    <mergeCell ref="D39:D40"/>
    <mergeCell ref="D41:M42"/>
    <mergeCell ref="D49:D52"/>
    <mergeCell ref="K1:M2"/>
    <mergeCell ref="C1:C2"/>
    <mergeCell ref="D1:H3"/>
    <mergeCell ref="K3:M3"/>
    <mergeCell ref="E10:G10"/>
    <mergeCell ref="H12:I12"/>
    <mergeCell ref="J12:M12"/>
    <mergeCell ref="J10:M10"/>
    <mergeCell ref="H10:I10"/>
    <mergeCell ref="I4:M4"/>
    <mergeCell ref="E6:G6"/>
    <mergeCell ref="E7:G7"/>
    <mergeCell ref="E8:G8"/>
    <mergeCell ref="H7:I7"/>
    <mergeCell ref="J5:M5"/>
    <mergeCell ref="J6:M6"/>
    <mergeCell ref="J7:M7"/>
    <mergeCell ref="J8:M8"/>
    <mergeCell ref="H8:I8"/>
    <mergeCell ref="H5:I5"/>
    <mergeCell ref="E5:G5"/>
    <mergeCell ref="J11:M11"/>
    <mergeCell ref="H11:I11"/>
    <mergeCell ref="E12:G12"/>
    <mergeCell ref="C18:M20"/>
    <mergeCell ref="B41:C53"/>
    <mergeCell ref="H28:M28"/>
    <mergeCell ref="H29:M29"/>
    <mergeCell ref="G44:H45"/>
    <mergeCell ref="I44:J45"/>
    <mergeCell ref="K44:L45"/>
    <mergeCell ref="M44:M45"/>
    <mergeCell ref="J40:L40"/>
    <mergeCell ref="D37:D38"/>
    <mergeCell ref="G34:I34"/>
    <mergeCell ref="I53:J53"/>
    <mergeCell ref="K53:L53"/>
    <mergeCell ref="E48:F48"/>
    <mergeCell ref="G48:H48"/>
    <mergeCell ref="I48:J48"/>
    <mergeCell ref="K48:L48"/>
    <mergeCell ref="E44:F45"/>
    <mergeCell ref="D35:D36"/>
    <mergeCell ref="E34:F34"/>
    <mergeCell ref="D44:D45"/>
    <mergeCell ref="E49:F52"/>
    <mergeCell ref="G49:H52"/>
    <mergeCell ref="I49:J52"/>
    <mergeCell ref="A62:A106"/>
    <mergeCell ref="A4:H4"/>
    <mergeCell ref="A5:D5"/>
    <mergeCell ref="A6:D6"/>
    <mergeCell ref="A7:D7"/>
    <mergeCell ref="A8:D8"/>
    <mergeCell ref="A9:D9"/>
    <mergeCell ref="A10:D10"/>
    <mergeCell ref="D33:I33"/>
    <mergeCell ref="D84:H84"/>
    <mergeCell ref="I84:M84"/>
    <mergeCell ref="E43:F43"/>
    <mergeCell ref="G43:H43"/>
    <mergeCell ref="I43:J43"/>
    <mergeCell ref="K43:L43"/>
    <mergeCell ref="A13:M13"/>
    <mergeCell ref="H23:M23"/>
    <mergeCell ref="B22:C29"/>
    <mergeCell ref="A14:D14"/>
    <mergeCell ref="M49:M52"/>
    <mergeCell ref="E46:F46"/>
    <mergeCell ref="G46:H46"/>
    <mergeCell ref="I15:M17"/>
    <mergeCell ref="D25:G25"/>
    <mergeCell ref="O5:O6"/>
    <mergeCell ref="N5:N6"/>
    <mergeCell ref="E37:F37"/>
    <mergeCell ref="E38:F38"/>
    <mergeCell ref="G37:I37"/>
    <mergeCell ref="J37:L37"/>
    <mergeCell ref="G38:I38"/>
    <mergeCell ref="J38:L38"/>
    <mergeCell ref="J34:L34"/>
    <mergeCell ref="J35:L35"/>
    <mergeCell ref="J36:L36"/>
    <mergeCell ref="H9:I9"/>
    <mergeCell ref="J9:M9"/>
    <mergeCell ref="E9:G9"/>
    <mergeCell ref="J33:M33"/>
    <mergeCell ref="D27:G27"/>
    <mergeCell ref="D28:G28"/>
    <mergeCell ref="D29:G29"/>
    <mergeCell ref="H27:M27"/>
    <mergeCell ref="H25:M25"/>
    <mergeCell ref="D26:G26"/>
    <mergeCell ref="H26:M26"/>
    <mergeCell ref="D24:G24"/>
    <mergeCell ref="H24:M24"/>
  </mergeCells>
  <dataValidations count="3">
    <dataValidation type="list" allowBlank="1" showInputMessage="1" showErrorMessage="1" prompt="Idioma (Language)" sqref="O1" xr:uid="{00000000-0002-0000-0000-000000000000}">
      <formula1>$N$1:$N$2</formula1>
    </dataValidation>
    <dataValidation type="list" allowBlank="1" showInputMessage="1" showErrorMessage="1" sqref="O5" xr:uid="{00000000-0002-0000-0000-000001000000}">
      <formula1>$P$5:$P$6</formula1>
    </dataValidation>
    <dataValidation type="list" allowBlank="1" showInputMessage="1" showErrorMessage="1" sqref="D56:D61 E56 E58:E61" xr:uid="{00000000-0002-0000-0000-000002000000}">
      <formula1>$N$8:$N$10</formula1>
    </dataValidation>
  </dataValidations>
  <hyperlinks>
    <hyperlink ref="J21" r:id="rId1" xr:uid="{46307780-3639-485B-BCB4-FFC4B2AEE99A}"/>
  </hyperlinks>
  <printOptions horizontalCentered="1"/>
  <pageMargins left="0.19685039370078741" right="0.11811023622047245" top="0.43307086614173229" bottom="0.23622047244094491" header="0.35433070866141736" footer="0.15748031496062992"/>
  <pageSetup paperSize="9" scale="74" fitToHeight="0" orientation="portrait" r:id="rId2"/>
  <headerFooter alignWithMargins="0">
    <oddFooter>&amp;LWFR-20997 - Rev. 3.0 - Nov.2018</oddFooter>
  </headerFooter>
  <rowBreaks count="1" manualBreakCount="1">
    <brk id="61" max="12" man="1"/>
  </rowBreaks>
  <ignoredErrors>
    <ignoredError sqref="A2:J2 N8:N9 A1:J1 A13:M14 A3:J3 L3:M3 A4:H4 J4:M4 A5:D5 F5:I5 A6:D6 F6:I6 A7:D7 H7:M7 A8:D8 H8:I8 A9:D9 H9:I9 A10:D10 F10:I10 A11:D11 F11:I11 K5:M5 K6:M6 K8:M8 K9:M9 K10:M10 K11:M11 A16:M17 B15:D15 F15:H15 J15:M15 A19:M20 A18:B18 D18:M18 A22:M22 A21:C21 E21 H21:I21 K21:M21 A24:M24 A23:C23 E23:G23 I23:M23 A29:M38 A25:C25 A26:C26 E26:G26 I26:M26 A46:M48 A44:D44 A40:M43 A39:D39 F39 H39:I39 K39:L39 A27:C27 E27:G27 I27:M27 A45:D45 M45 A53:M55 A49:D49 M49:M52 A61:M63 A58:C60 A65:M72 A64:C64 E64:M64 A74:M77 A73:C73 E73:M73 A83:M83 A78:C78 A87:M109 A86:E86 A28:C28 A79:C82 A12:I12 K12:M12 A50:C52 A56:C56 A85:M85 A84:C84 E84:M84" unlockedFormula="1"/>
  </ignoredError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F0131-F2AA-41D2-AF3E-58EC08BB05C0}">
  <sheetPr codeName="Plan3"/>
  <dimension ref="A1:V25"/>
  <sheetViews>
    <sheetView showGridLines="0" topLeftCell="A7" workbookViewId="0">
      <selection activeCell="T32" sqref="T32"/>
    </sheetView>
  </sheetViews>
  <sheetFormatPr defaultRowHeight="12.75" x14ac:dyDescent="0.2"/>
  <cols>
    <col min="8" max="8" width="1.7109375" customWidth="1"/>
  </cols>
  <sheetData>
    <row r="1" spans="1:22" ht="45" customHeight="1" x14ac:dyDescent="0.2">
      <c r="A1" s="290"/>
      <c r="B1" s="290"/>
      <c r="C1" s="290"/>
      <c r="D1" s="289" t="str">
        <f>IF('R8D'!C1=1,"Anexos","Attachment")</f>
        <v>Anexos</v>
      </c>
      <c r="E1" s="289"/>
      <c r="F1" s="289"/>
      <c r="G1" s="289"/>
      <c r="H1" s="289"/>
      <c r="I1" s="289"/>
      <c r="J1" s="289"/>
      <c r="K1" s="289"/>
      <c r="L1" s="289"/>
      <c r="M1" s="291" t="str">
        <f>IF('R8D'!C1=1,"Retornar para o Relatório 8D","Turn Back to 8D Report")</f>
        <v>Retornar para o Relatório 8D</v>
      </c>
      <c r="N1" s="291"/>
      <c r="O1" s="291"/>
      <c r="P1" s="1"/>
      <c r="Q1" s="1"/>
      <c r="R1" s="1"/>
      <c r="S1" s="1"/>
      <c r="T1" s="1"/>
      <c r="U1" s="1"/>
      <c r="V1" s="1"/>
    </row>
    <row r="2" spans="1:22" x14ac:dyDescent="0.2">
      <c r="A2" s="2"/>
      <c r="B2" s="2"/>
      <c r="C2" s="2"/>
      <c r="D2" s="2"/>
      <c r="E2" s="2"/>
      <c r="F2" s="2"/>
      <c r="G2" s="2"/>
      <c r="H2" s="2"/>
      <c r="I2" s="2"/>
      <c r="J2" s="2"/>
      <c r="K2" s="2"/>
      <c r="L2" s="2"/>
      <c r="M2" s="2"/>
      <c r="N2" s="2"/>
      <c r="O2" s="2"/>
    </row>
    <row r="3" spans="1:22" x14ac:dyDescent="0.2">
      <c r="A3" s="2"/>
      <c r="B3" s="2"/>
      <c r="C3" s="2"/>
      <c r="D3" s="2"/>
      <c r="E3" s="2"/>
      <c r="F3" s="2"/>
      <c r="G3" s="2"/>
      <c r="H3" s="2"/>
      <c r="I3" s="2"/>
      <c r="J3" s="2"/>
      <c r="K3" s="2"/>
      <c r="L3" s="2"/>
      <c r="M3" s="2"/>
      <c r="N3" s="2"/>
      <c r="O3" s="2"/>
    </row>
    <row r="4" spans="1:22" ht="12" customHeight="1" x14ac:dyDescent="0.2">
      <c r="A4" s="2"/>
      <c r="B4" s="2"/>
      <c r="C4" s="2"/>
      <c r="D4" s="2"/>
      <c r="E4" s="2"/>
      <c r="F4" s="2"/>
      <c r="G4" s="2"/>
      <c r="H4" s="2"/>
      <c r="I4" s="2"/>
      <c r="J4" s="2"/>
      <c r="K4" s="2"/>
      <c r="L4" s="2"/>
      <c r="M4" s="2"/>
      <c r="N4" s="2"/>
      <c r="O4" s="2"/>
    </row>
    <row r="5" spans="1:22" x14ac:dyDescent="0.2">
      <c r="A5" s="2"/>
      <c r="B5" s="2"/>
      <c r="C5" s="2"/>
      <c r="D5" s="2"/>
      <c r="E5" s="2"/>
      <c r="F5" s="2"/>
      <c r="G5" s="2"/>
      <c r="H5" s="2"/>
      <c r="I5" s="2"/>
      <c r="J5" s="2"/>
      <c r="K5" s="2"/>
      <c r="L5" s="2"/>
      <c r="M5" s="2"/>
      <c r="N5" s="2"/>
      <c r="O5" s="2"/>
    </row>
    <row r="6" spans="1:22" x14ac:dyDescent="0.2">
      <c r="A6" s="2"/>
      <c r="B6" s="2"/>
      <c r="C6" s="2"/>
      <c r="D6" s="2"/>
      <c r="E6" s="2"/>
      <c r="F6" s="2"/>
      <c r="G6" s="2"/>
      <c r="H6" s="2"/>
      <c r="I6" s="2"/>
      <c r="J6" s="2"/>
      <c r="K6" s="2"/>
      <c r="L6" s="2"/>
      <c r="M6" s="2"/>
      <c r="N6" s="2"/>
      <c r="O6" s="2"/>
    </row>
    <row r="7" spans="1:22" x14ac:dyDescent="0.2">
      <c r="A7" s="2"/>
      <c r="B7" s="2"/>
      <c r="C7" s="2"/>
      <c r="D7" s="2"/>
      <c r="E7" s="2"/>
      <c r="F7" s="2"/>
      <c r="G7" s="2"/>
      <c r="H7" s="2"/>
      <c r="I7" s="2"/>
      <c r="J7" s="2"/>
      <c r="K7" s="2"/>
      <c r="L7" s="2"/>
      <c r="M7" s="2"/>
      <c r="N7" s="2"/>
      <c r="O7" s="2"/>
    </row>
    <row r="8" spans="1:22" x14ac:dyDescent="0.2">
      <c r="A8" s="2"/>
      <c r="B8" s="2"/>
      <c r="C8" s="2"/>
      <c r="D8" s="2"/>
      <c r="E8" s="2"/>
      <c r="F8" s="2"/>
      <c r="G8" s="2"/>
      <c r="H8" s="2"/>
      <c r="I8" s="2"/>
      <c r="J8" s="2"/>
      <c r="K8" s="2"/>
      <c r="L8" s="2"/>
      <c r="M8" s="2"/>
      <c r="N8" s="2"/>
      <c r="O8" s="2"/>
    </row>
    <row r="9" spans="1:22" x14ac:dyDescent="0.2">
      <c r="A9" s="2"/>
      <c r="B9" s="2"/>
      <c r="C9" s="2"/>
      <c r="D9" s="2"/>
      <c r="E9" s="2"/>
      <c r="F9" s="2"/>
      <c r="G9" s="2"/>
      <c r="H9" s="2"/>
      <c r="I9" s="2"/>
      <c r="J9" s="2"/>
      <c r="K9" s="2"/>
      <c r="L9" s="2"/>
      <c r="M9" s="2"/>
      <c r="N9" s="2"/>
      <c r="O9" s="2"/>
    </row>
    <row r="10" spans="1:22" x14ac:dyDescent="0.2">
      <c r="A10" s="2"/>
      <c r="B10" s="2"/>
      <c r="C10" s="2"/>
      <c r="D10" s="2"/>
      <c r="E10" s="2"/>
      <c r="F10" s="2"/>
      <c r="G10" s="2"/>
      <c r="H10" s="2"/>
      <c r="I10" s="2"/>
      <c r="J10" s="2"/>
      <c r="K10" s="2"/>
      <c r="L10" s="2"/>
      <c r="M10" s="2"/>
      <c r="N10" s="2"/>
      <c r="O10" s="2"/>
    </row>
    <row r="11" spans="1:22" x14ac:dyDescent="0.2">
      <c r="A11" s="2"/>
      <c r="B11" s="2"/>
      <c r="C11" s="2"/>
      <c r="D11" s="2"/>
      <c r="E11" s="2"/>
      <c r="F11" s="2"/>
      <c r="G11" s="2"/>
      <c r="H11" s="2"/>
      <c r="I11" s="2"/>
      <c r="J11" s="2"/>
      <c r="K11" s="2"/>
      <c r="L11" s="2"/>
      <c r="M11" s="2"/>
      <c r="N11" s="2"/>
      <c r="O11" s="2"/>
    </row>
    <row r="12" spans="1:22" x14ac:dyDescent="0.2">
      <c r="A12" s="2"/>
      <c r="B12" s="2"/>
      <c r="C12" s="2"/>
      <c r="D12" s="2"/>
      <c r="E12" s="2"/>
      <c r="F12" s="2"/>
      <c r="G12" s="2"/>
      <c r="H12" s="2"/>
      <c r="I12" s="2"/>
      <c r="J12" s="2"/>
      <c r="K12" s="2"/>
      <c r="L12" s="2"/>
      <c r="M12" s="2"/>
      <c r="N12" s="2"/>
      <c r="O12" s="2"/>
    </row>
    <row r="13" spans="1:22" x14ac:dyDescent="0.2">
      <c r="A13" s="2"/>
      <c r="B13" s="2"/>
      <c r="C13" s="2"/>
      <c r="D13" s="2"/>
      <c r="E13" s="2"/>
      <c r="F13" s="2"/>
      <c r="G13" s="2"/>
      <c r="H13" s="2"/>
      <c r="I13" s="2"/>
      <c r="J13" s="2"/>
      <c r="K13" s="2"/>
      <c r="L13" s="2"/>
      <c r="M13" s="2"/>
      <c r="N13" s="2"/>
      <c r="O13" s="2"/>
    </row>
    <row r="14" spans="1:22" x14ac:dyDescent="0.2">
      <c r="A14" s="2"/>
      <c r="B14" s="2"/>
      <c r="C14" s="2"/>
      <c r="D14" s="2"/>
      <c r="E14" s="2"/>
      <c r="F14" s="2"/>
      <c r="G14" s="2"/>
      <c r="H14" s="2"/>
      <c r="I14" s="2"/>
      <c r="J14" s="2"/>
      <c r="K14" s="2"/>
      <c r="L14" s="2"/>
      <c r="M14" s="2"/>
      <c r="N14" s="2"/>
      <c r="O14" s="2"/>
    </row>
    <row r="15" spans="1:22" x14ac:dyDescent="0.2">
      <c r="A15" s="2"/>
      <c r="B15" s="2"/>
      <c r="C15" s="2"/>
      <c r="D15" s="2"/>
      <c r="E15" s="2"/>
      <c r="F15" s="2"/>
      <c r="G15" s="2"/>
      <c r="H15" s="2"/>
      <c r="I15" s="2"/>
      <c r="J15" s="2"/>
      <c r="K15" s="2"/>
      <c r="L15" s="2"/>
      <c r="M15" s="2"/>
      <c r="N15" s="2"/>
      <c r="O15" s="2"/>
    </row>
    <row r="16" spans="1:22" x14ac:dyDescent="0.2">
      <c r="A16" s="2"/>
      <c r="B16" s="2"/>
      <c r="C16" s="2"/>
      <c r="D16" s="2"/>
      <c r="E16" s="2"/>
      <c r="F16" s="2"/>
      <c r="G16" s="2"/>
      <c r="H16" s="2"/>
      <c r="I16" s="2"/>
      <c r="J16" s="2"/>
      <c r="K16" s="2"/>
      <c r="L16" s="2"/>
      <c r="M16" s="2"/>
      <c r="N16" s="2"/>
      <c r="O16" s="2"/>
    </row>
    <row r="17" spans="1:15" x14ac:dyDescent="0.2">
      <c r="A17" s="2"/>
      <c r="B17" s="2"/>
      <c r="C17" s="2"/>
      <c r="D17" s="2"/>
      <c r="E17" s="2"/>
      <c r="F17" s="2"/>
      <c r="G17" s="2"/>
      <c r="H17" s="2"/>
      <c r="I17" s="2"/>
      <c r="J17" s="2"/>
      <c r="K17" s="2"/>
      <c r="L17" s="2"/>
      <c r="M17" s="2"/>
      <c r="N17" s="2"/>
      <c r="O17" s="2"/>
    </row>
    <row r="18" spans="1:15" x14ac:dyDescent="0.2">
      <c r="A18" s="2"/>
      <c r="B18" s="2"/>
      <c r="C18" s="2"/>
      <c r="D18" s="2"/>
      <c r="E18" s="2"/>
      <c r="F18" s="2"/>
      <c r="G18" s="2"/>
      <c r="H18" s="2"/>
      <c r="I18" s="2"/>
      <c r="J18" s="2"/>
      <c r="K18" s="2"/>
      <c r="L18" s="2"/>
      <c r="M18" s="2"/>
      <c r="N18" s="2"/>
      <c r="O18" s="2"/>
    </row>
    <row r="19" spans="1:15" x14ac:dyDescent="0.2">
      <c r="A19" s="2"/>
      <c r="B19" s="2"/>
      <c r="C19" s="2"/>
      <c r="D19" s="2"/>
      <c r="E19" s="2"/>
      <c r="F19" s="2"/>
      <c r="G19" s="2"/>
      <c r="H19" s="2"/>
      <c r="I19" s="2"/>
      <c r="J19" s="2"/>
      <c r="K19" s="2"/>
      <c r="L19" s="2"/>
      <c r="M19" s="2"/>
      <c r="N19" s="2"/>
      <c r="O19" s="2"/>
    </row>
    <row r="20" spans="1:15" x14ac:dyDescent="0.2">
      <c r="A20" s="2"/>
      <c r="B20" s="2"/>
      <c r="C20" s="2"/>
      <c r="D20" s="2"/>
      <c r="E20" s="2"/>
      <c r="F20" s="2"/>
      <c r="G20" s="2"/>
      <c r="H20" s="2"/>
      <c r="I20" s="2"/>
      <c r="J20" s="2"/>
      <c r="K20" s="2"/>
      <c r="L20" s="2"/>
      <c r="M20" s="2"/>
      <c r="N20" s="2"/>
      <c r="O20" s="2"/>
    </row>
    <row r="21" spans="1:15" x14ac:dyDescent="0.2">
      <c r="A21" s="2"/>
      <c r="B21" s="2"/>
      <c r="C21" s="2"/>
      <c r="D21" s="2"/>
      <c r="E21" s="2"/>
      <c r="F21" s="2"/>
      <c r="G21" s="2"/>
      <c r="H21" s="2"/>
      <c r="I21" s="2"/>
      <c r="J21" s="2"/>
      <c r="K21" s="2"/>
      <c r="L21" s="2"/>
      <c r="M21" s="2"/>
      <c r="N21" s="2"/>
      <c r="O21" s="2"/>
    </row>
    <row r="22" spans="1:15" x14ac:dyDescent="0.2">
      <c r="A22" s="2"/>
      <c r="B22" s="2"/>
      <c r="C22" s="2"/>
      <c r="D22" s="2"/>
      <c r="E22" s="2"/>
      <c r="F22" s="2"/>
      <c r="G22" s="2"/>
      <c r="H22" s="2"/>
      <c r="I22" s="2"/>
      <c r="J22" s="2"/>
      <c r="K22" s="2"/>
      <c r="L22" s="2"/>
      <c r="M22" s="2"/>
      <c r="N22" s="2"/>
      <c r="O22" s="2"/>
    </row>
    <row r="23" spans="1:15" x14ac:dyDescent="0.2">
      <c r="A23" s="2"/>
      <c r="B23" s="2"/>
      <c r="C23" s="2"/>
      <c r="D23" s="2"/>
      <c r="E23" s="2"/>
      <c r="F23" s="2"/>
      <c r="G23" s="2"/>
      <c r="H23" s="2"/>
      <c r="I23" s="2"/>
      <c r="J23" s="2"/>
      <c r="K23" s="2"/>
      <c r="L23" s="2"/>
      <c r="M23" s="2"/>
      <c r="N23" s="2"/>
      <c r="O23" s="2"/>
    </row>
    <row r="24" spans="1:15" x14ac:dyDescent="0.2">
      <c r="A24" s="2"/>
      <c r="B24" s="2"/>
      <c r="C24" s="2"/>
      <c r="D24" s="2"/>
      <c r="E24" s="2"/>
      <c r="F24" s="2"/>
      <c r="G24" s="2"/>
      <c r="H24" s="2"/>
      <c r="I24" s="2"/>
      <c r="J24" s="2"/>
      <c r="K24" s="2"/>
      <c r="L24" s="2"/>
      <c r="M24" s="2"/>
      <c r="N24" s="2"/>
      <c r="O24" s="2"/>
    </row>
    <row r="25" spans="1:15" ht="13.5" thickBot="1" x14ac:dyDescent="0.25">
      <c r="A25" s="2"/>
      <c r="B25" s="2"/>
      <c r="C25" s="2"/>
      <c r="D25" s="2"/>
      <c r="E25" s="2"/>
      <c r="F25" s="2"/>
      <c r="G25" s="2"/>
      <c r="H25" s="2"/>
      <c r="I25" s="2"/>
      <c r="J25" s="2"/>
      <c r="K25" s="2"/>
      <c r="L25" s="2"/>
      <c r="M25" s="2"/>
      <c r="N25" s="2"/>
      <c r="O25" s="2"/>
    </row>
  </sheetData>
  <mergeCells count="3">
    <mergeCell ref="D1:L1"/>
    <mergeCell ref="A1:C1"/>
    <mergeCell ref="M1:O1"/>
  </mergeCells>
  <hyperlinks>
    <hyperlink ref="M1:S1" location="'Rel. 8D Port.'!A1" display="Retornar R8D" xr:uid="{00000000-0004-0000-0100-000000000000}"/>
    <hyperlink ref="M1:V1" location="'R8D'!A1" display="'R8D'!A1" xr:uid="{00000000-0004-0000-0100-000001000000}"/>
    <hyperlink ref="M1:O1" location="'R8D'!L24" display="'R8D'!L24" xr:uid="{00000000-0004-0000-0100-000002000000}"/>
  </hyperlinks>
  <pageMargins left="0.66" right="0.78740157499999996" top="0.48" bottom="0.43" header="0.18" footer="0.17"/>
  <pageSetup paperSize="9" scale="98" orientation="landscape"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Planilhas</vt:lpstr>
      </vt:variant>
      <vt:variant>
        <vt:i4>2</vt:i4>
      </vt:variant>
      <vt:variant>
        <vt:lpstr>Intervalos Nomeados</vt:lpstr>
      </vt:variant>
      <vt:variant>
        <vt:i4>2</vt:i4>
      </vt:variant>
    </vt:vector>
  </HeadingPairs>
  <TitlesOfParts>
    <vt:vector size="4" baseType="lpstr">
      <vt:lpstr>R8D</vt:lpstr>
      <vt:lpstr>Anexos(Evidencias)</vt:lpstr>
      <vt:lpstr>'R8D'!Area_de_impressao</vt:lpstr>
      <vt:lpstr>'R8D'!Titulos_de_impressao</vt:lpstr>
    </vt:vector>
  </TitlesOfParts>
  <Manager/>
  <Company>TI Automotive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WMORENO</dc:creator>
  <cp:keywords/>
  <dc:description/>
  <cp:lastModifiedBy>Rodrigo Josué Cozer</cp:lastModifiedBy>
  <cp:lastPrinted>2018-11-28T16:34:08Z</cp:lastPrinted>
  <dcterms:created xsi:type="dcterms:W3CDTF">2006-11-14T13:37:15Z</dcterms:created>
  <dcterms:modified xsi:type="dcterms:W3CDTF">2024-09-09T19:03:20Z</dcterms:modified>
  <cp:category/>
</cp:coreProperties>
</file>